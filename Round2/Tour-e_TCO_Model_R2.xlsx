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st_Price" sheetId="3" state="visible" r:id="rId3"/>
    <sheet xmlns:r="http://schemas.openxmlformats.org/officeDocument/2006/relationships" name="Price_Walk" sheetId="4" state="visible" r:id="rId4"/>
    <sheet xmlns:r="http://schemas.openxmlformats.org/officeDocument/2006/relationships" name="BaaS" sheetId="5" state="visible" r:id="rId5"/>
    <sheet xmlns:r="http://schemas.openxmlformats.org/officeDocument/2006/relationships" name="TCO" sheetId="6" state="visible" r:id="rId6"/>
    <sheet xmlns:r="http://schemas.openxmlformats.org/officeDocument/2006/relationships" name="Driver_Economics" sheetId="7" state="visible" r:id="rId7"/>
    <sheet xmlns:r="http://schemas.openxmlformats.org/officeDocument/2006/relationships" name="Fleet_Economic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Scenario_2035" sheetId="10" state="visible" r:id="rId10"/>
    <sheet xmlns:r="http://schemas.openxmlformats.org/officeDocument/2006/relationships" name="Maruti_Case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00"/>
    <numFmt numFmtId="167" formatCode="0.0"/>
    <numFmt numFmtId="168" formatCode="0.00&quot;×&quot;"/>
    <numFmt numFmtId="169" formatCode="0.0&quot;×&quot;"/>
  </numFmts>
  <fonts count="10">
    <font>
      <name val="Calibri"/>
      <family val="2"/>
      <color theme="1"/>
      <sz val="11"/>
      <scheme val="minor"/>
    </font>
    <font>
      <name val="Calibri"/>
      <b val="1"/>
      <color rgb="000B2545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0B2545"/>
      <sz val="11"/>
    </font>
    <font>
      <name val="Calibri"/>
      <sz val="11"/>
    </font>
    <font>
      <name val="Calibri"/>
      <color rgb="000000FF"/>
      <sz val="11"/>
    </font>
    <font>
      <name val="Calibri"/>
      <color rgb="006B7280"/>
      <sz val="9"/>
    </font>
    <font>
      <name val="Calibri"/>
      <b val="1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EF4FA"/>
      </patternFill>
    </fill>
    <fill>
      <patternFill patternType="solid">
        <fgColor rgb="00FFF7D6"/>
      </patternFill>
    </fill>
    <fill>
      <patternFill patternType="solid">
        <fgColor rgb="00DFF5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2" fontId="8" fillId="5" borderId="1" pivotButton="0" quotePrefix="0" xfId="0"/>
    <xf numFmtId="0" fontId="7" fillId="0" borderId="0" pivotButton="0" quotePrefix="0" xfId="0"/>
    <xf numFmtId="3" fontId="8" fillId="5" borderId="1" pivotButton="0" quotePrefix="0" xfId="0"/>
    <xf numFmtId="167" fontId="8" fillId="5" borderId="1" pivotButton="0" quotePrefix="0" xfId="0"/>
    <xf numFmtId="1" fontId="8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4" borderId="1" pivotButton="0" quotePrefix="0" xfId="0"/>
    <xf numFmtId="165" fontId="6" fillId="4" borderId="1" pivotButton="0" quotePrefix="0" xfId="0"/>
    <xf numFmtId="2" fontId="6" fillId="4" borderId="1" pivotButton="0" quotePrefix="0" xfId="0"/>
    <xf numFmtId="2" fontId="0" fillId="0" borderId="1" pivotButton="0" quotePrefix="0" xfId="0"/>
    <xf numFmtId="9" fontId="0" fillId="0" borderId="0" pivotButton="0" quotePrefix="0" xfId="0"/>
    <xf numFmtId="0" fontId="8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  <xf numFmtId="1" fontId="0" fillId="0" borderId="1" pivotButton="0" quotePrefix="0" xfId="0"/>
    <xf numFmtId="3" fontId="0" fillId="0" borderId="0" pivotButton="0" quotePrefix="0" xfId="0"/>
    <xf numFmtId="49" fontId="8" fillId="5" borderId="1" pivotButton="0" quotePrefix="0" xfId="0"/>
    <xf numFmtId="1" fontId="6" fillId="4" borderId="1" pivotButton="0" quotePrefix="0" xfId="0"/>
    <xf numFmtId="9" fontId="6" fillId="4" borderId="1" pivotButton="0" quotePrefix="0" xfId="0"/>
    <xf numFmtId="169" fontId="8" fillId="5" borderId="1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Fleet cost per km at 80,000 km/yr (₹/km)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'TCO'!A22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'TCO'!$B$21:$D$21</f>
            </numRef>
          </cat>
          <val>
            <numRef>
              <f>'TCO'!$B$22:$D$22</f>
            </numRef>
          </val>
        </ser>
        <ser>
          <idx val="1"/>
          <order val="1"/>
          <tx>
            <strRef>
              <f>'TCO'!A23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'TCO'!$B$21:$D$21</f>
            </numRef>
          </cat>
          <val>
            <numRef>
              <f>'TCO'!$B$23:$D$23</f>
            </numRef>
          </val>
        </ser>
        <ser>
          <idx val="2"/>
          <order val="2"/>
          <tx>
            <strRef>
              <f>'TCO'!A24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'TCO'!$B$21:$D$21</f>
            </numRef>
          </cat>
          <val>
            <numRef>
              <f>'TCO'!$B$24:$D$24</f>
            </numRef>
          </val>
        </ser>
        <ser>
          <idx val="3"/>
          <order val="3"/>
          <tx>
            <strRef>
              <f>'TCO'!A29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'TCO'!$B$21:$D$21</f>
            </numRef>
          </cat>
          <val>
            <numRef>
              <f>'TCO'!$B$29:$D$29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₹/km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₹/km vs annual km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'Sensitivity'!$A$6:$A$11</f>
            </numRef>
          </cat>
          <val>
            <numRef>
              <f>'Sensitivity'!$B$6:$B$11</f>
            </numRef>
          </val>
        </ser>
        <ser>
          <idx val="1"/>
          <order val="1"/>
          <tx>
            <strRef>
              <f>'Sensitivity'!C5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'Sensitivity'!$A$6:$A$11</f>
            </numRef>
          </cat>
          <val>
            <numRef>
              <f>'Sensitivity'!$C$6:$C$11</f>
            </numRef>
          </val>
        </ser>
        <ser>
          <idx val="2"/>
          <order val="2"/>
          <tx>
            <strRef>
              <f>'Sensitivity'!D5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'Sensitivity'!$A$6:$A$11</f>
            </numRef>
          </cat>
          <val>
            <numRef>
              <f>'Sensitivity'!$D$6:$D$11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km/yr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₹/km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arutisuzuki.com/corporate/media/press-releases/2026/february/india-goes-electric-with-maruti-suzuki-e-vitara-introductory-baas-price-starts" TargetMode="External" Id="rId1"/><Relationship Type="http://schemas.openxmlformats.org/officeDocument/2006/relationships/hyperlink" Target="https://www.autocarindia.com/auto-features/baas-prices-of-maruti-e-vitara-explained-440247" TargetMode="External" Id="rId2"/><Relationship Type="http://schemas.openxmlformats.org/officeDocument/2006/relationships/hyperlink" Target="https://www.autocarindia.com/car-news-amp/maruti-suzuki-prices-after-gst-cuts-the-swift-gets-a-lakh-cheaper-437189" TargetMode="External" Id="rId3"/><Relationship Type="http://schemas.openxmlformats.org/officeDocument/2006/relationships/hyperlink" Target="https://www.outlookbusiness.com/economy-and-policy/delhi-cng-to-cost-8698kg-as-igl-passes-on-rising-lng-costs" TargetMode="External" Id="rId4"/><Relationship Type="http://schemas.openxmlformats.org/officeDocument/2006/relationships/hyperlink" Target="https://about.bnef.com/insights/clean-transport/lithium-ion-battery-pack-prices-fall-to-108-per-kilowatt-hour-despite-rising-metal-prices-bloombergnef/" TargetMode="External" Id="rId5"/><Relationship Type="http://schemas.openxmlformats.org/officeDocument/2006/relationships/hyperlink" Target="https://cleartax.in/s/gst-on-cars" TargetMode="External" Id="rId6"/><Relationship Type="http://schemas.openxmlformats.org/officeDocument/2006/relationships/hyperlink" Target="https://www.ceew.in/publications/cost-of-ownership-for-road-transport-sector-for-different-vehicle-segments-fuels-and-powertrains" TargetMode="External" Id="rId7"/><Relationship Type="http://schemas.openxmlformats.org/officeDocument/2006/relationships/hyperlink" Target="https://www.meraev.com/blog/ev-charging-cost-in-india-full-guide" TargetMode="External" Id="rId8"/><Relationship Type="http://schemas.openxmlformats.org/officeDocument/2006/relationships/hyperlink" Target="https://www.mymotor.in/blog/ev-charging-cost-india-state-wise-tariff" TargetMode="External" Id="rId9"/><Relationship Type="http://schemas.openxmlformats.org/officeDocument/2006/relationships/hyperlink" Target="https://hdfcsky.com/news/inr-usd-rate-august-11-2026-rupee-falls-95-43" TargetMode="External" Id="rId10"/><Relationship Type="http://schemas.openxmlformats.org/officeDocument/2006/relationships/hyperlink" Target="https://www.rushlane.com/2019-maruti-ertiga-cng-launched-12318513.html" TargetMode="External" Id="rId11"/><Relationship Type="http://schemas.openxmlformats.org/officeDocument/2006/relationships/hyperlink" Target="https://www.business-standard.com/industry/auto/maruti-suzuki-enters-ev-market-with-sharp-e-vitara-pricing-baas-model-126021700866_1.html" TargetMode="External" Id="rId12"/><Relationship Type="http://schemas.openxmlformats.org/officeDocument/2006/relationships/hyperlink" Target="https://www.cartoq.com/car-news/maruti-suzuki-ymc-electric-mpv-launch-2026/" TargetMode="External" Id="rId13"/><Relationship Type="http://schemas.openxmlformats.org/officeDocument/2006/relationships/hyperlink" Target="https://www.cardekho.com/overview/Maruti_e_Vitara/Maruti_e_Vitara_Delta.htm" TargetMode="External" Id="rId14"/></Relationships>
</file>

<file path=xl/worksheets/sheet1.xml><?xml version="1.0" encoding="utf-8"?>
<worksheet xmlns="http://schemas.openxmlformats.org/spreadsheetml/2006/main">
  <sheetPr>
    <tabColor rgb="000B2545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30" customWidth="1" min="3" max="3"/>
  </cols>
  <sheetData>
    <row r="1">
      <c r="A1" s="1" t="inlineStr">
        <is>
          <t>Tour-e (YMC Tour) – TCO model summary</t>
        </is>
      </c>
    </row>
    <row r="2">
      <c r="A2" s="2" t="inlineStr">
        <is>
          <t>Team model, Maruti Suzuki XCELerate 2026, E-Track. All values are live formulas; change the blue inputs on the Inputs sheet.</t>
        </is>
      </c>
    </row>
    <row r="4">
      <c r="A4" s="3" t="inlineStr">
        <is>
          <t>Headline</t>
        </is>
      </c>
      <c r="B4" s="3" t="inlineStr">
        <is>
          <t>Value</t>
        </is>
      </c>
      <c r="C4" s="3" t="inlineStr">
        <is>
          <t>Sheet</t>
        </is>
      </c>
    </row>
    <row r="5">
      <c r="A5" s="4" t="inlineStr">
        <is>
          <t>FLEET (80,000 km/yr, depot charging)</t>
        </is>
      </c>
      <c r="B5" s="5" t="n"/>
      <c r="C5" s="5" t="n"/>
    </row>
    <row r="6">
      <c r="A6" t="inlineStr">
        <is>
          <t>Saving per car per year vs Ertiga CNG – Tour-e bought outright (₹ lakh)</t>
        </is>
      </c>
      <c r="B6" s="6">
        <f>Fleet_Economics!D7</f>
        <v>1.3839999999999997</v>
      </c>
      <c r="C6" s="7" t="inlineStr">
        <is>
          <t>Fleet_Economics</t>
        </is>
      </c>
    </row>
    <row r="7">
      <c r="A7" t="inlineStr">
        <is>
          <t>Saving per car per year vs Ertiga CNG – Tour-e + battery EMI (₹ lakh)</t>
        </is>
      </c>
      <c r="B7" s="6">
        <f>Fleet_Economics!C7</f>
        <v>1.2239999999999993</v>
      </c>
      <c r="C7" s="7" t="inlineStr">
        <is>
          <t>Fleet_Economics</t>
        </is>
      </c>
    </row>
    <row r="8">
      <c r="A8" t="inlineStr">
        <is>
          <t>Cost per km: CNG / Tour-e + EMI / Tour-e outright (₹)</t>
        </is>
      </c>
      <c r="B8" s="8" t="str">
        <f>TEXT(TCO!B30,"0.00")&amp;" / "&amp;TEXT(TCO!C30,"0.00")&amp;" / "&amp;TEXT(TCO!D30,"0.00")</f>
        <v>8.86 / 7.33 / 7.13</v>
      </c>
      <c r="C8" s="7" t="inlineStr">
        <is>
          <t>TCO</t>
        </is>
      </c>
    </row>
    <row r="9">
      <c r="A9" t="inlineStr">
        <is>
          <t>Payback of the outright price premium (months)</t>
        </is>
      </c>
      <c r="B9" s="9">
        <f>Fleet_Economics!D12</f>
        <v>16.603053237410077</v>
      </c>
      <c r="C9" s="7" t="inlineStr">
        <is>
          <t>Fleet_Economics</t>
        </is>
      </c>
    </row>
    <row r="10">
      <c r="A10" t="inlineStr">
        <is>
          <t>Battery-EMI car vs Ertiga CNG: upfront price difference (₹ lakh)</t>
        </is>
      </c>
      <c r="B10" s="6">
        <f>Fleet_Economics!C10</f>
        <v>-1.5459919999999983</v>
      </c>
      <c r="C10" s="7" t="inlineStr">
        <is>
          <t>Fleet_Economics</t>
        </is>
      </c>
    </row>
    <row r="11">
      <c r="A11" t="inlineStr">
        <is>
          <t>5-year saving per car, Tour-e outright (₹ lakh)</t>
        </is>
      </c>
      <c r="B11" s="6">
        <f>Fleet_Economics!D8</f>
        <v>6.919999999999998</v>
      </c>
      <c r="C11" s="7" t="inlineStr">
        <is>
          <t>Fleet_Economics</t>
        </is>
      </c>
    </row>
    <row r="12">
      <c r="A12" t="inlineStr">
        <is>
          <t>Annual saving for a 1,000-car fleet, outright / EMI (₹ crore)</t>
        </is>
      </c>
      <c r="B12" s="6" t="str">
        <f>TEXT(Fleet_Economics!D7*10,"0.0")&amp;" / "&amp;TEXT(Fleet_Economics!C7*10,"0.0")</f>
        <v>13.8 / 12.2</v>
      </c>
      <c r="C12" s="7" t="inlineStr">
        <is>
          <t>Fleet_Economics</t>
        </is>
      </c>
    </row>
    <row r="13">
      <c r="A13" s="4" t="inlineStr">
        <is>
          <t>OWNER-DRIVER (60,000 km/yr)</t>
        </is>
      </c>
      <c r="B13" s="5" t="n"/>
      <c r="C13" s="5" t="n"/>
    </row>
    <row r="14">
      <c r="A14" t="inlineStr">
        <is>
          <t>Gain per month vs CNG, Maruti driver hub charging – EMI (₹)</t>
        </is>
      </c>
      <c r="B14" s="8">
        <f>Driver_Economics!C11</f>
        <v>5150.000000000007</v>
      </c>
      <c r="C14" s="7" t="inlineStr">
        <is>
          <t>Driver_Economics</t>
        </is>
      </c>
    </row>
    <row r="15">
      <c r="A15" t="inlineStr">
        <is>
          <t>Gain per month vs CNG, Maruti driver hub charging – outright (₹)</t>
        </is>
      </c>
      <c r="B15" s="8">
        <f>Driver_Economics!D11</f>
        <v>5600.000000000007</v>
      </c>
      <c r="C15" s="7" t="inlineStr">
        <is>
          <t>Driver_Economics</t>
        </is>
      </c>
    </row>
    <row r="16">
      <c r="A16" t="inlineStr">
        <is>
          <t>Gain per month vs CNG with no hub (EMI / outright, ₹)</t>
        </is>
      </c>
      <c r="B16" s="6" t="str">
        <f>Driver_Economics!E28</f>
        <v>1,400 / 1,850</v>
      </c>
      <c r="C16" s="7" t="inlineStr">
        <is>
          <t>Driver_Economics</t>
        </is>
      </c>
    </row>
    <row r="17">
      <c r="A17" s="4" t="inlineStr">
        <is>
          <t>VEHICLE AND PRICE</t>
        </is>
      </c>
      <c r="B17" s="5" t="n"/>
      <c r="C17" s="5" t="n"/>
    </row>
    <row r="18">
      <c r="A18" t="inlineStr">
        <is>
          <t>Ex-factory cost 2028 / 2035 (₹ lakh)</t>
        </is>
      </c>
      <c r="B18" s="6" t="str">
        <f>TEXT(Cost_Price!$B$18,"0.00")&amp;" / "&amp;TEXT(Cost_Price!$C$18,"0.00")</f>
        <v>11.72 / 9.97</v>
      </c>
      <c r="C18" s="7" t="inlineStr">
        <is>
          <t>Cost_Price</t>
        </is>
      </c>
    </row>
    <row r="19">
      <c r="A19" t="inlineStr">
        <is>
          <t>Ex-showroom outright 2028 / 2035 (₹ lakh)</t>
        </is>
      </c>
      <c r="B19" s="6" t="str">
        <f>TEXT(Cost_Price!$B$27,"0.00")&amp;" / "&amp;TEXT(Cost_Price!$C$27,"0.00")</f>
        <v>13.82 / 11.76</v>
      </c>
      <c r="C19" s="7" t="inlineStr">
        <is>
          <t>Cost_Price</t>
        </is>
      </c>
    </row>
    <row r="20">
      <c r="A20" t="inlineStr">
        <is>
          <t>Battery-EMI car price 2028 / 2035 (₹ lakh)</t>
        </is>
      </c>
      <c r="B20" s="6" t="str">
        <f>TEXT(Cost_Price!$B$28,"0.00")&amp;" / "&amp;TEXT(Cost_Price!$C$28,"0.00")</f>
        <v>9.20 / 8.01</v>
      </c>
      <c r="C20" s="7" t="inlineStr">
        <is>
          <t>Cost_Price</t>
        </is>
      </c>
    </row>
    <row r="21">
      <c r="A21" t="inlineStr">
        <is>
          <t>Battery EMI 2028 / 2035 (₹/km) · break-even at 60k km</t>
        </is>
      </c>
      <c r="B21" s="6" t="str">
        <f>TEXT(Inputs!$B$51,"0.0")&amp;" / "&amp;TEXT(Inputs!$B$52,"0.0")&amp;" · "&amp;TEXT(BaaS!$B$10,"0.00")&amp;" / "&amp;TEXT(BaaS!$C$10,"0.00")</f>
        <v>2.1 / 1.7 · 2.03 / 1.65</v>
      </c>
      <c r="C21" s="7" t="inlineStr">
        <is>
          <t>BaaS</t>
        </is>
      </c>
    </row>
    <row r="22">
      <c r="A22" t="inlineStr">
        <is>
          <t>Price walk: chosen cost sits between Ertiga and e VITARA anchors</t>
        </is>
      </c>
      <c r="B22" s="6" t="str">
        <f>Price_Walk!B34</f>
        <v>Yes</v>
      </c>
      <c r="C22" s="7" t="inlineStr">
        <is>
          <t>Price_Walk</t>
        </is>
      </c>
    </row>
    <row r="23">
      <c r="A23" t="inlineStr">
        <is>
          <t>City range / at 70% SoH / Tour-e Long highway (km)</t>
        </is>
      </c>
      <c r="B23" s="6" t="str">
        <f>TEXT(BaaS!$B$29,"0")&amp;" / "&amp;TEXT(BaaS!$B$30,"0")&amp;" / "&amp;TEXT(BaaS!$B$35,"0")</f>
        <v>307 / 215 / 317</v>
      </c>
      <c r="C23" s="7" t="inlineStr">
        <is>
          <t>BaaS</t>
        </is>
      </c>
    </row>
    <row r="24">
      <c r="A24" s="4" t="inlineStr">
        <is>
          <t>STRESS AND OUTLOOK</t>
        </is>
      </c>
      <c r="B24" s="5" t="n"/>
      <c r="C24" s="5" t="n"/>
    </row>
    <row r="25">
      <c r="A25" t="inlineStr">
        <is>
          <t>If the battery were leased (18% GST): owner-driver gain per month (₹)</t>
        </is>
      </c>
      <c r="B25" s="8">
        <f>Sensitivity!E63</f>
        <v>3249.9999999999927</v>
      </c>
      <c r="C25" s="7" t="inlineStr">
        <is>
          <t>Sensitivity H</t>
        </is>
      </c>
    </row>
    <row r="26">
      <c r="A26" t="inlineStr">
        <is>
          <t>CNG price at which Tour-e + EMI loses its edge, owner-driver (₹/kg)</t>
        </is>
      </c>
      <c r="B26" s="8">
        <f>Sensitivity!E67</f>
        <v>64.39999999999999</v>
      </c>
      <c r="C26" s="7" t="inlineStr">
        <is>
          <t>Sensitivity G</t>
        </is>
      </c>
    </row>
    <row r="27">
      <c r="A27" t="inlineStr">
        <is>
          <t>2035: owner-driver gain per month, Tour-e + EMI (₹)</t>
        </is>
      </c>
      <c r="B27" s="8">
        <f>Scenario_2035!C11</f>
        <v>10000.0</v>
      </c>
      <c r="C27" s="7" t="inlineStr">
        <is>
          <t>Scenario_2035</t>
        </is>
      </c>
    </row>
    <row r="28">
      <c r="A28" s="4" t="inlineStr">
        <is>
          <t>WHY MARUTI</t>
        </is>
      </c>
      <c r="B28" s="5" t="n"/>
      <c r="C28" s="5" t="n"/>
    </row>
    <row r="29">
      <c r="A29" t="inlineStr">
        <is>
          <t>Maruti programme payback year</t>
        </is>
      </c>
      <c r="B29" s="10">
        <f>Maruti_Case!$B$16</f>
        <v>2033.0</v>
      </c>
      <c r="C29" s="7" t="inlineStr">
        <is>
          <t>Maruti_Case</t>
        </is>
      </c>
    </row>
    <row r="30">
      <c r="A30" t="inlineStr">
        <is>
          <t>Tour-e volume in 2031 vs Maruti's EV sales today (×)</t>
        </is>
      </c>
      <c r="B30" s="9">
        <f>Maruti_Case!$B$20</f>
        <v>3.774154589371981</v>
      </c>
      <c r="C30" s="7" t="inlineStr">
        <is>
          <t>Maruti_Case</t>
        </is>
      </c>
    </row>
    <row r="32">
      <c r="A32" s="11" t="inlineStr">
        <is>
          <t>How to use</t>
        </is>
      </c>
    </row>
    <row r="33">
      <c r="A33" s="12" t="inlineStr">
        <is>
          <t>1. Change any blue input on the Inputs sheet; every other sheet is formula-driven.</t>
        </is>
      </c>
    </row>
    <row r="34">
      <c r="A34" s="12" t="inlineStr">
        <is>
          <t>2. Sheets: Inputs → Cost_Price → Price_Walk → BaaS → TCO → Driver_Economics → Fleet_Economics → Sensitivity → Scenario_2035 → Maruti_Case → Sources.</t>
        </is>
      </c>
    </row>
    <row r="35">
      <c r="A35" s="12" t="inlineStr">
        <is>
          <t>3. Capital cost uses Excel PMT: annual loan payment at 10.5% over 5 years with the residual value as the loan's future value, plus 3% insurance on the full insured value.</t>
        </is>
      </c>
    </row>
    <row r="36">
      <c r="A36" s="12" t="inlineStr">
        <is>
          <t>4. Tour-e is the fleet version of Maruti's YMC MPV on HEARTECT-e, using the e VITARA's 49 kWh (Tour-e) and 61 kWh (Tour-e Long) LFP packs.</t>
        </is>
      </c>
    </row>
    <row r="37">
      <c r="A37" s="12" t="inlineStr">
        <is>
          <t>5. All values are in 2026 rupees with no inflation. Tour-e figures are design targets and team estimates, not current prices.</t>
        </is>
      </c>
    </row>
    <row r="38">
      <c r="A38" s="12" t="inlineStr">
        <is>
          <t>6. Road-tax / permit waivers for EVs and any state purchase incentives are excluded, so the EV case is conservative.</t>
        </is>
      </c>
    </row>
    <row r="39">
      <c r="A39" s="12" t="inlineStr">
        <is>
          <t>Colour key: blue on yellow = input; black = formula; green-tinted = headline output.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B2545"/>
    <outlinePr summaryBelow="1" summaryRight="1"/>
    <pageSetUpPr/>
  </sheetPr>
  <dimension ref="A1:E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00" customWidth="1" min="5" max="5"/>
  </cols>
  <sheetData>
    <row r="1">
      <c r="A1" s="1" t="inlineStr">
        <is>
          <t>Inputs &amp; assumptions</t>
        </is>
      </c>
    </row>
    <row r="2">
      <c r="A2" s="2" t="inlineStr">
        <is>
          <t>Blue cells on yellow are inputs; change them and every sheet recalculates. All money in 2026 ₹ (no inflation).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Type</t>
        </is>
      </c>
      <c r="E4" s="3" t="inlineStr">
        <is>
          <t>Source / rationale</t>
        </is>
      </c>
    </row>
    <row r="5">
      <c r="A5" s="4" t="inlineStr">
        <is>
          <t>1 · Duty cycle &amp; finance</t>
        </is>
      </c>
      <c r="B5" s="5" t="n"/>
      <c r="C5" s="5" t="n"/>
      <c r="D5" s="5" t="n"/>
      <c r="E5" s="5" t="n"/>
    </row>
    <row r="6">
      <c r="A6" s="12" t="inlineStr">
        <is>
          <t>Ownership / analysis period</t>
        </is>
      </c>
      <c r="B6" s="13" t="n">
        <v>5</v>
      </c>
      <c r="C6" s="12" t="inlineStr">
        <is>
          <t>years</t>
        </is>
      </c>
      <c r="D6" s="7" t="inlineStr">
        <is>
          <t>Team assumption</t>
        </is>
      </c>
      <c r="E6" s="14" t="inlineStr">
        <is>
          <t>Typical commercial-vehicle loan tenure and fleet holding period.</t>
        </is>
      </c>
    </row>
    <row r="7">
      <c r="A7" s="12" t="inlineStr">
        <is>
          <t>Owner-driver annual km</t>
        </is>
      </c>
      <c r="B7" s="13" t="n">
        <v>60000</v>
      </c>
      <c r="C7" s="12" t="inlineStr">
        <is>
          <t>km/yr</t>
        </is>
      </c>
      <c r="D7" s="7" t="inlineStr">
        <is>
          <t>Team assumption</t>
        </is>
      </c>
      <c r="E7" s="14" t="inlineStr">
        <is>
          <t>≈200 km/day × 300 working days; matches the 200–250 km duty day cited by EV fleet operators (slide 2).</t>
        </is>
      </c>
    </row>
    <row r="8">
      <c r="A8" s="12" t="inlineStr">
        <is>
          <t>Fleet car annual km (double-shift)</t>
        </is>
      </c>
      <c r="B8" s="13" t="n">
        <v>80000</v>
      </c>
      <c r="C8" s="12" t="inlineStr">
        <is>
          <t>km/yr</t>
        </is>
      </c>
      <c r="D8" s="7" t="inlineStr">
        <is>
          <t>Team assumption</t>
        </is>
      </c>
      <c r="E8" s="14" t="inlineStr">
        <is>
          <t>≈250 km/day × 320 days; high-utilisation fleet case.</t>
        </is>
      </c>
    </row>
    <row r="9">
      <c r="A9" s="12" t="inlineStr">
        <is>
          <t>Owner-driver working days</t>
        </is>
      </c>
      <c r="B9" s="13" t="n">
        <v>300</v>
      </c>
      <c r="C9" s="12" t="inlineStr">
        <is>
          <t>days/yr</t>
        </is>
      </c>
      <c r="D9" s="7" t="inlineStr">
        <is>
          <t>Team assumption</t>
        </is>
      </c>
      <c r="E9" s="14" t="inlineStr">
        <is>
          <t>Six days a week, less holidays / servicing.</t>
        </is>
      </c>
    </row>
    <row r="10">
      <c r="A10" s="12" t="inlineStr">
        <is>
          <t>Fleet working days</t>
        </is>
      </c>
      <c r="B10" s="13" t="n">
        <v>320</v>
      </c>
      <c r="C10" s="12" t="inlineStr">
        <is>
          <t>days/yr</t>
        </is>
      </c>
      <c r="D10" s="7" t="inlineStr">
        <is>
          <t>Team assumption</t>
        </is>
      </c>
      <c r="E10" s="14" t="inlineStr">
        <is>
          <t>Double-shift fleet with planned downtime.</t>
        </is>
      </c>
    </row>
    <row r="11">
      <c r="A11" s="12" t="inlineStr">
        <is>
          <t>Vehicle finance rate (annual)</t>
        </is>
      </c>
      <c r="B11" s="15" t="n">
        <v>0.105</v>
      </c>
      <c r="C11" s="12" t="inlineStr">
        <is>
          <t>%</t>
        </is>
      </c>
      <c r="D11" s="7" t="inlineStr">
        <is>
          <t>Team assumption</t>
        </is>
      </c>
      <c r="E11" s="14" t="inlineStr">
        <is>
          <t>Commercial vehicle loans from banks/NBFCs typically 9.5–12%; mid-point used.</t>
        </is>
      </c>
    </row>
    <row r="12">
      <c r="A12" s="12" t="inlineStr">
        <is>
          <t>Insurance, % of ex-showroom per year</t>
        </is>
      </c>
      <c r="B12" s="15" t="n">
        <v>0.03</v>
      </c>
      <c r="C12" s="12" t="inlineStr">
        <is>
          <t>%/yr</t>
        </is>
      </c>
      <c r="D12" s="7" t="inlineStr">
        <is>
          <t>Team assumption</t>
        </is>
      </c>
      <c r="E12" s="14" t="inlineStr">
        <is>
          <t>Commercial comprehensive cover for a ₹10–12 L vehicle; applied flat over 5 years (conservative).</t>
        </is>
      </c>
    </row>
    <row r="13">
      <c r="A13" s="12" t="inlineStr">
        <is>
          <t>Residual value – Ertiga CNG at yr 5</t>
        </is>
      </c>
      <c r="B13" s="15" t="n">
        <v>0.15</v>
      </c>
      <c r="C13" s="12" t="inlineStr">
        <is>
          <t>% of price</t>
        </is>
      </c>
      <c r="D13" s="7" t="inlineStr">
        <is>
          <t>Team assumption</t>
        </is>
      </c>
      <c r="E13" s="14" t="inlineStr">
        <is>
          <t>High-mileage taxi (3–4 lakh km) resale; slide 2 uses a 15–20% range.</t>
        </is>
      </c>
    </row>
    <row r="14">
      <c r="A14" s="12" t="inlineStr">
        <is>
          <t>Residual value – Tour-e bought outright</t>
        </is>
      </c>
      <c r="B14" s="15" t="n">
        <v>0.15</v>
      </c>
      <c r="C14" s="12" t="inlineStr">
        <is>
          <t>% of price</t>
        </is>
      </c>
      <c r="D14" s="7" t="inlineStr">
        <is>
          <t>Team assumption</t>
        </is>
      </c>
      <c r="E14" s="14" t="inlineStr">
        <is>
          <t>Same as CNG – no EV premium assumed despite SoH passport (conservative).</t>
        </is>
      </c>
    </row>
    <row r="15">
      <c r="A15" s="12" t="inlineStr">
        <is>
          <t>Residual value – Tour-e body under BaaS</t>
        </is>
      </c>
      <c r="B15" s="15" t="n">
        <v>0.2</v>
      </c>
      <c r="C15" s="12" t="inlineStr">
        <is>
          <t>% of price</t>
        </is>
      </c>
      <c r="D15" s="7" t="inlineStr">
        <is>
          <t>Team assumption</t>
        </is>
      </c>
      <c r="E15" s="14" t="inlineStr">
        <is>
          <t>Battery stays with the BaaS provider, so the buyer holds no pack-fade risk; body/eAxle retain value better.</t>
        </is>
      </c>
    </row>
    <row r="16">
      <c r="A16" s="4" t="inlineStr">
        <is>
          <t>2 · Tour-e energy (design targets)</t>
        </is>
      </c>
      <c r="B16" s="5" t="n"/>
      <c r="C16" s="5" t="n"/>
      <c r="D16" s="5" t="n"/>
      <c r="E16" s="5" t="n"/>
    </row>
    <row r="17">
      <c r="A17" s="12" t="inlineStr">
        <is>
          <t>Battery pack (HEARTECT-e / e VITARA 49 kWh LFP)</t>
        </is>
      </c>
      <c r="B17" s="13" t="n">
        <v>49</v>
      </c>
      <c r="C17" s="12" t="inlineStr">
        <is>
          <t>kWh</t>
        </is>
      </c>
      <c r="D17" s="7" t="inlineStr">
        <is>
          <t>Sourced (platform)</t>
        </is>
      </c>
      <c r="E17" s="14" t="inlineStr">
        <is>
          <t>Tour-e is the fleet version of Maruti's YMC MPV and reuses the e VITARA's 49 kWh LFP pack; no new pack development.</t>
        </is>
      </c>
    </row>
    <row r="18">
      <c r="A18" s="12" t="inlineStr">
        <is>
          <t>Usable battery capacity</t>
        </is>
      </c>
      <c r="B18" s="13" t="n">
        <v>46</v>
      </c>
      <c r="C18" s="12" t="inlineStr">
        <is>
          <t>kWh</t>
        </is>
      </c>
      <c r="D18" s="7" t="inlineStr">
        <is>
          <t>Team assumption</t>
        </is>
      </c>
      <c r="E18" s="14" t="inlineStr">
        <is>
          <t>≈94% usable window, typical for LFP packs.</t>
        </is>
      </c>
    </row>
    <row r="19">
      <c r="A19" s="12" t="inlineStr">
        <is>
          <t>Tour-e Long pack (e VITARA 61 kWh), usable</t>
        </is>
      </c>
      <c r="B19" s="13" t="n">
        <v>57</v>
      </c>
      <c r="C19" s="12" t="inlineStr">
        <is>
          <t>kWh</t>
        </is>
      </c>
      <c r="D19" s="7" t="inlineStr">
        <is>
          <t>Sourced (platform)</t>
        </is>
      </c>
      <c r="E19" s="14" t="inlineStr">
        <is>
          <t>61 kWh pack at ≈94% usable.</t>
        </is>
      </c>
    </row>
    <row r="20">
      <c r="A20" s="12" t="inlineStr">
        <is>
          <t>Energy use at the battery, city (real-world, AC on)</t>
        </is>
      </c>
      <c r="B20" s="16" t="n">
        <v>0.15</v>
      </c>
      <c r="C20" s="12" t="inlineStr">
        <is>
          <t>kWh/km</t>
        </is>
      </c>
      <c r="D20" s="7" t="inlineStr">
        <is>
          <t>Design target</t>
        </is>
      </c>
      <c r="E20" s="14" t="inlineStr">
        <is>
          <t>Compact MPV ~1.7 t with heavy AC use. 46 kWh ÷ 0.150 ≈ 307 km.</t>
        </is>
      </c>
    </row>
    <row r="21">
      <c r="A21" s="12" t="inlineStr">
        <is>
          <t>Energy use at the battery, highway ~100 km/h</t>
        </is>
      </c>
      <c r="B21" s="16" t="n">
        <v>0.18</v>
      </c>
      <c r="C21" s="12" t="inlineStr">
        <is>
          <t>kWh/km</t>
        </is>
      </c>
      <c r="D21" s="7" t="inlineStr">
        <is>
          <t>Team assumption</t>
        </is>
      </c>
      <c r="E21" s="14" t="inlineStr">
        <is>
          <t>Tall MPV body at highway speed; used for Tour-e Long corridor range.</t>
        </is>
      </c>
    </row>
    <row r="22">
      <c r="A22" s="12" t="inlineStr">
        <is>
          <t>Charging efficiency (grid → battery)</t>
        </is>
      </c>
      <c r="B22" s="15" t="n">
        <v>0.9</v>
      </c>
      <c r="C22" s="12" t="inlineStr">
        <is>
          <t>%</t>
        </is>
      </c>
      <c r="D22" s="7" t="inlineStr">
        <is>
          <t>Team assumption</t>
        </is>
      </c>
      <c r="E22" s="14" t="inlineStr">
        <is>
          <t>AC/DC charging losses of ~10%.</t>
        </is>
      </c>
    </row>
    <row r="23">
      <c r="A23" s="12" t="inlineStr">
        <is>
          <t>Fleet depot / overnight tariff</t>
        </is>
      </c>
      <c r="B23" s="13" t="n">
        <v>9</v>
      </c>
      <c r="C23" s="12" t="inlineStr">
        <is>
          <t>₹/kWh</t>
        </is>
      </c>
      <c r="D23" s="7" t="inlineStr">
        <is>
          <t>Team assumption</t>
        </is>
      </c>
      <c r="E23" s="14" t="inlineStr">
        <is>
          <t>State commercial / EV-specific tariffs are typically ₹7–10/kWh incl. fixed charges (e.g., state EV tariff orders); ₹9 used.</t>
        </is>
      </c>
    </row>
    <row r="24">
      <c r="A24" s="12" t="inlineStr">
        <is>
          <t>Maruti driver hub tariff (dealer / workshop overnight)</t>
        </is>
      </c>
      <c r="B24" s="13" t="n">
        <v>11</v>
      </c>
      <c r="C24" s="12" t="inlineStr">
        <is>
          <t>₹/kWh</t>
        </is>
      </c>
      <c r="D24" s="7" t="inlineStr">
        <is>
          <t>Team assumption</t>
        </is>
      </c>
      <c r="E24" s="14" t="inlineStr">
        <is>
          <t>Owner-drivers without a depot charge overnight at Maruti dealer and service workshops: depot tariff plus a ₹2/kWh hub margin.</t>
        </is>
      </c>
    </row>
    <row r="25">
      <c r="A25" s="12" t="inlineStr">
        <is>
          <t>Public DC fast-charging tariff</t>
        </is>
      </c>
      <c r="B25" s="13" t="n">
        <v>20</v>
      </c>
      <c r="C25" s="12" t="inlineStr">
        <is>
          <t>₹/kWh</t>
        </is>
      </c>
      <c r="D25" s="7" t="inlineStr">
        <is>
          <t>Sourced (range)</t>
        </is>
      </c>
      <c r="E25" s="14" t="inlineStr">
        <is>
          <t>Public DC CPO pricing in India 2026 is ~₹18–25/kWh incl. GST (MeraEV / MyMotor tariff guides).</t>
        </is>
      </c>
    </row>
    <row r="26">
      <c r="A26" s="12" t="inlineStr">
        <is>
          <t>Fleet: share of energy charged at depot</t>
        </is>
      </c>
      <c r="B26" s="15" t="n">
        <v>0.8</v>
      </c>
      <c r="C26" s="12" t="inlineStr">
        <is>
          <t>%</t>
        </is>
      </c>
      <c r="D26" s="7" t="inlineStr">
        <is>
          <t>Team assumption</t>
        </is>
      </c>
      <c r="E26" s="14" t="inlineStr">
        <is>
          <t>Fleet model built around overnight depot charging; 20% top-ups at public DC.</t>
        </is>
      </c>
    </row>
    <row r="27">
      <c r="A27" s="12" t="inlineStr">
        <is>
          <t>Owner-driver: share of energy at Maruti driver hub</t>
        </is>
      </c>
      <c r="B27" s="15" t="n">
        <v>0.8</v>
      </c>
      <c r="C27" s="12" t="inlineStr">
        <is>
          <t>%</t>
        </is>
      </c>
      <c r="D27" s="7" t="inlineStr">
        <is>
          <t>Team assumption</t>
        </is>
      </c>
      <c r="E27" s="14" t="inlineStr">
        <is>
          <t>Base case for owner-drivers; the rest at public DC.</t>
        </is>
      </c>
    </row>
    <row r="28">
      <c r="A28" s="12" t="inlineStr">
        <is>
          <t>Owner-driver without hub: share at slow public chargers</t>
        </is>
      </c>
      <c r="B28" s="15" t="n">
        <v>0.3</v>
      </c>
      <c r="C28" s="12" t="inlineStr">
        <is>
          <t>%</t>
        </is>
      </c>
      <c r="D28" s="7" t="inlineStr">
        <is>
          <t>Team assumption</t>
        </is>
      </c>
      <c r="E28" s="14" t="inlineStr">
        <is>
          <t>Stress case: no hub; 30% slow public AC at the hub tariff, 70% public DC.</t>
        </is>
      </c>
    </row>
    <row r="29">
      <c r="A29" s="12" t="inlineStr">
        <is>
          <t>Tour-e maintenance + tyres</t>
        </is>
      </c>
      <c r="B29" s="17" t="n">
        <v>0.55</v>
      </c>
      <c r="C29" s="12" t="inlineStr">
        <is>
          <t>₹/km</t>
        </is>
      </c>
      <c r="D29" s="7" t="inlineStr">
        <is>
          <t>Team assumption</t>
        </is>
      </c>
      <c r="E29" s="14" t="inlineStr">
        <is>
          <t>No engine oil, filters, clutch; regen reduces brake wear. ~40–45% lower than CNG, consistent with fleet-operator reports.</t>
        </is>
      </c>
    </row>
    <row r="30">
      <c r="A30" s="4" t="inlineStr">
        <is>
          <t>3 · Ertiga Tour M CNG benchmark</t>
        </is>
      </c>
      <c r="B30" s="5" t="n"/>
      <c r="C30" s="5" t="n"/>
      <c r="D30" s="5" t="n"/>
      <c r="E30" s="5" t="n"/>
    </row>
    <row r="31">
      <c r="A31" s="12" t="inlineStr">
        <is>
          <t>Ertiga Tour M CNG ex-showroom (post GST 2.0)</t>
        </is>
      </c>
      <c r="B31" s="16" t="n">
        <v>10.745</v>
      </c>
      <c r="C31" s="12" t="inlineStr">
        <is>
          <t>₹ lakh</t>
        </is>
      </c>
      <c r="D31" s="7" t="inlineStr">
        <is>
          <t>Sourced</t>
        </is>
      </c>
      <c r="E31" s="14" t="inlineStr">
        <is>
          <t>₹10.74 L – Maruti post-GST 2.0 price list via Autocar India; Tour M is the fleet version of India's No.1 MPV.</t>
        </is>
      </c>
    </row>
    <row r="32">
      <c r="A32" s="12" t="inlineStr">
        <is>
          <t>CNG price</t>
        </is>
      </c>
      <c r="B32" s="13" t="n">
        <v>85</v>
      </c>
      <c r="C32" s="12" t="inlineStr">
        <is>
          <t>₹/kg</t>
        </is>
      </c>
      <c r="D32" s="7" t="inlineStr">
        <is>
          <t>Sourced (rounded down)</t>
        </is>
      </c>
      <c r="E32" s="14" t="inlineStr">
        <is>
          <t>Delhi IGL ₹86.98/kg from 29 Aug 2026 (Outlook Business, Goodreturns). ₹85 is slightly conservative – it favours CNG.</t>
        </is>
      </c>
    </row>
    <row r="33">
      <c r="A33" s="12" t="inlineStr">
        <is>
          <t>CNG real-world efficiency</t>
        </is>
      </c>
      <c r="B33" s="13" t="n">
        <v>20</v>
      </c>
      <c r="C33" s="12" t="inlineStr">
        <is>
          <t>km/kg</t>
        </is>
      </c>
      <c r="D33" s="7" t="inlineStr">
        <is>
          <t>Team assumption</t>
        </is>
      </c>
      <c r="E33" s="14" t="inlineStr">
        <is>
          <t>Claimed 26.11 km/kg (ARAI); city taxi duty with AC typically 18–21 km/kg.</t>
        </is>
      </c>
    </row>
    <row r="34">
      <c r="A34" s="12" t="inlineStr">
        <is>
          <t>CNG maintenance + tyres</t>
        </is>
      </c>
      <c r="B34" s="17" t="n">
        <v>0.95</v>
      </c>
      <c r="C34" s="12" t="inlineStr">
        <is>
          <t>₹/km</t>
        </is>
      </c>
      <c r="D34" s="7" t="inlineStr">
        <is>
          <t>Team assumption</t>
        </is>
      </c>
      <c r="E34" s="14" t="inlineStr">
        <is>
          <t>Engine oil/filter every 10k km, spark plugs, clutch, CNG kit servicing and hydro-testing.</t>
        </is>
      </c>
    </row>
    <row r="35">
      <c r="A35" s="4" t="inlineStr">
        <is>
          <t>4 · Cost stack &amp; pricing</t>
        </is>
      </c>
      <c r="B35" s="5" t="n"/>
      <c r="C35" s="5" t="n"/>
      <c r="D35" s="5" t="n"/>
      <c r="E35" s="5" t="n"/>
    </row>
    <row r="36">
      <c r="A36" s="12" t="inlineStr">
        <is>
          <t>Battery pack cost 2028 (landed, pack level)</t>
        </is>
      </c>
      <c r="B36" s="13" t="n">
        <v>8000</v>
      </c>
      <c r="C36" s="12" t="inlineStr">
        <is>
          <t>₹/kWh</t>
        </is>
      </c>
      <c r="D36" s="7" t="inlineStr">
        <is>
          <t>Sourced (anchored)</t>
        </is>
      </c>
      <c r="E36" s="14" t="inlineStr">
        <is>
          <t>≈$84/kWh × ₹95/$ – BNEF 2025 survey: China average pack price $84/kWh (global $108). Cross-check: e VITARA 49 kWh pack is priced at ~₹5 L retail incl. margins and GST.</t>
        </is>
      </c>
    </row>
    <row r="37">
      <c r="A37" s="12" t="inlineStr">
        <is>
          <t>Battery pack cost 2035</t>
        </is>
      </c>
      <c r="B37" s="13" t="n">
        <v>6500</v>
      </c>
      <c r="C37" s="12" t="inlineStr">
        <is>
          <t>₹/kWh</t>
        </is>
      </c>
      <c r="D37" s="7" t="inlineStr">
        <is>
          <t>Team assumption</t>
        </is>
      </c>
      <c r="E37" s="14" t="inlineStr">
        <is>
          <t>~19% below 2028 in real terms (≈3%/yr) via localised cells (ACC-PLI) and LFP scale; conservative vs. BNEF outlooks.</t>
        </is>
      </c>
    </row>
    <row r="38">
      <c r="A38" s="12" t="inlineStr">
        <is>
          <t>Exchange rate</t>
        </is>
      </c>
      <c r="B38" s="13" t="n">
        <v>95</v>
      </c>
      <c r="C38" s="12" t="inlineStr">
        <is>
          <t>₹/US$</t>
        </is>
      </c>
      <c r="D38" s="7" t="inlineStr">
        <is>
          <t>Sourced</t>
        </is>
      </c>
      <c r="E38" s="14" t="inlineStr">
        <is>
          <t>INR traded ~₹94.6–95.4 per US$ in Jun–Aug 2026 (HDFC Sky daily market reports).</t>
        </is>
      </c>
    </row>
    <row r="39">
      <c r="A39" s="12" t="inlineStr">
        <is>
          <t>OEM margin on cost</t>
        </is>
      </c>
      <c r="B39" s="15" t="n">
        <v>0.08</v>
      </c>
      <c r="C39" s="12" t="inlineStr">
        <is>
          <t>%</t>
        </is>
      </c>
      <c r="D39" s="7" t="inlineStr">
        <is>
          <t>Team assumption</t>
        </is>
      </c>
      <c r="E39" s="14" t="inlineStr">
        <is>
          <t>Mass-market OEM EBIT margins ~7–10%.</t>
        </is>
      </c>
    </row>
    <row r="40">
      <c r="A40" s="12" t="inlineStr">
        <is>
          <t>Dealer margin</t>
        </is>
      </c>
      <c r="B40" s="15" t="n">
        <v>0.04</v>
      </c>
      <c r="C40" s="12" t="inlineStr">
        <is>
          <t>%</t>
        </is>
      </c>
      <c r="D40" s="7" t="inlineStr">
        <is>
          <t>Team assumption</t>
        </is>
      </c>
      <c r="E40" s="14" t="inlineStr">
        <is>
          <t>Fleet sales carry thin dealer margins (3–5%).</t>
        </is>
      </c>
    </row>
    <row r="41">
      <c r="A41" s="12" t="inlineStr">
        <is>
          <t>GST on EVs (vehicle and battery sold with it)</t>
        </is>
      </c>
      <c r="B41" s="15" t="n">
        <v>0.05</v>
      </c>
      <c r="C41" s="12" t="inlineStr">
        <is>
          <t>%</t>
        </is>
      </c>
      <c r="D41" s="7" t="inlineStr">
        <is>
          <t>Sourced</t>
        </is>
      </c>
      <c r="E41" s="14" t="inlineStr">
        <is>
          <t>GST Council, GST 2.0 effective 22 Sep 2025: EVs stay at 5%.</t>
        </is>
      </c>
    </row>
    <row r="42">
      <c r="A42" s="12" t="inlineStr">
        <is>
          <t>GST if the battery were leased instead (stress case)</t>
        </is>
      </c>
      <c r="B42" s="15" t="n">
        <v>0.18</v>
      </c>
      <c r="C42" s="12" t="inlineStr">
        <is>
          <t>%</t>
        </is>
      </c>
      <c r="D42" s="7" t="inlineStr">
        <is>
          <t>Sourced (rate)</t>
        </is>
      </c>
      <c r="E42" s="14" t="inlineStr">
        <is>
          <t>Leasing of goods attracts the GST rate of the goods; Li-ion batteries sold separately attract 18%. Our loan structure avoids this (see BaaS sheet).</t>
        </is>
      </c>
    </row>
    <row r="43">
      <c r="A43" s="12" t="inlineStr">
        <is>
          <t>GST on CNG cars &gt;4 m (for reference)</t>
        </is>
      </c>
      <c r="B43" s="15" t="n">
        <v>0.4</v>
      </c>
      <c r="C43" s="12" t="inlineStr">
        <is>
          <t>%</t>
        </is>
      </c>
      <c r="D43" s="7" t="inlineStr">
        <is>
          <t>Sourced</t>
        </is>
      </c>
      <c r="E43" s="14" t="inlineStr">
        <is>
          <t>GST 2.0: petrol/CNG cars &gt;4 m or &gt;1,200 cc attract 40% (Ertiga included).</t>
        </is>
      </c>
    </row>
    <row r="44">
      <c r="A44" s="4" t="inlineStr">
        <is>
          <t>5 · Battery-as-a-Service (BaaS) – structured as a per-km battery loan</t>
        </is>
      </c>
      <c r="B44" s="5" t="n"/>
      <c r="C44" s="5" t="n"/>
      <c r="D44" s="5" t="n"/>
      <c r="E44" s="5" t="n"/>
    </row>
    <row r="45">
      <c r="A45" s="12" t="inlineStr">
        <is>
          <t>Battery loan rate (NBFC)</t>
        </is>
      </c>
      <c r="B45" s="15" t="n">
        <v>0.11</v>
      </c>
      <c r="C45" s="12" t="inlineStr">
        <is>
          <t>%</t>
        </is>
      </c>
      <c r="D45" s="7" t="inlineStr">
        <is>
          <t>Team assumption</t>
        </is>
      </c>
      <c r="E45" s="14" t="inlineStr">
        <is>
          <t>Same dual-loan structure as Maruti's e VITARA BaaS: the battery is sold (5% GST) and financed per km. Loan interest carries no GST.</t>
        </is>
      </c>
    </row>
    <row r="46">
      <c r="A46" s="12" t="inlineStr">
        <is>
          <t>BaaS amortisation term</t>
        </is>
      </c>
      <c r="B46" s="13" t="n">
        <v>5</v>
      </c>
      <c r="C46" s="12" t="inlineStr">
        <is>
          <t>years</t>
        </is>
      </c>
      <c r="D46" s="7" t="inlineStr">
        <is>
          <t>Team assumption</t>
        </is>
      </c>
      <c r="E46" s="14" t="inlineStr">
        <is>
          <t>Matches the fleet holding period.</t>
        </is>
      </c>
    </row>
    <row r="47">
      <c r="A47" s="12" t="inlineStr">
        <is>
          <t>Pack residual value at end of term</t>
        </is>
      </c>
      <c r="B47" s="15" t="n">
        <v>0.25</v>
      </c>
      <c r="C47" s="12" t="inlineStr">
        <is>
          <t>% of pack price</t>
        </is>
      </c>
      <c r="D47" s="7" t="inlineStr">
        <is>
          <t>Team assumption</t>
        </is>
      </c>
      <c r="E47" s="14" t="inlineStr">
        <is>
          <t>LFP pack at ≥70% SoH has second-life value (stationary storage).</t>
        </is>
      </c>
    </row>
    <row r="48">
      <c r="A48" s="12" t="inlineStr">
        <is>
          <t>Risk reserve (assured buy-back / early replacement)</t>
        </is>
      </c>
      <c r="B48" s="15" t="n">
        <v>0.1</v>
      </c>
      <c r="C48" s="12" t="inlineStr">
        <is>
          <t>%</t>
        </is>
      </c>
      <c r="D48" s="7" t="inlineStr">
        <is>
          <t>Team assumption</t>
        </is>
      </c>
      <c r="E48" s="14" t="inlineStr">
        <is>
          <t>Funds an assured buy-back of the pack at 25% and early-replacement risk over a 4 lakh km design life.</t>
        </is>
      </c>
    </row>
    <row r="49">
      <c r="A49" s="12" t="inlineStr">
        <is>
          <t>BaaS programme margin</t>
        </is>
      </c>
      <c r="B49" s="15" t="n">
        <v>0.08</v>
      </c>
      <c r="C49" s="12" t="inlineStr">
        <is>
          <t>%</t>
        </is>
      </c>
      <c r="D49" s="7" t="inlineStr">
        <is>
          <t>Team assumption</t>
        </is>
      </c>
      <c r="E49" s="14" t="inlineStr">
        <is>
          <t>Margin for the NBFC / Maruti finance programme.</t>
        </is>
      </c>
    </row>
    <row r="50">
      <c r="A50" s="12" t="inlineStr">
        <is>
          <t>Minimum contracted km (fleet BaaS)</t>
        </is>
      </c>
      <c r="B50" s="13" t="n">
        <v>60000</v>
      </c>
      <c r="C50" s="12" t="inlineStr">
        <is>
          <t>km/yr</t>
        </is>
      </c>
      <c r="D50" s="7" t="inlineStr">
        <is>
          <t>Team assumption</t>
        </is>
      </c>
      <c r="E50" s="14" t="inlineStr">
        <is>
          <t>Rate is priced on this floor; more km lowers the provider's cost per km.</t>
        </is>
      </c>
    </row>
    <row r="51">
      <c r="A51" s="12" t="inlineStr">
        <is>
          <t>Fleet battery EMI 2028 (chosen)</t>
        </is>
      </c>
      <c r="B51" s="17" t="n">
        <v>2.1</v>
      </c>
      <c r="C51" s="12" t="inlineStr">
        <is>
          <t>₹/km</t>
        </is>
      </c>
      <c r="D51" s="7" t="inlineStr">
        <is>
          <t>Team decision</t>
        </is>
      </c>
      <c r="E51" s="14" t="inlineStr">
        <is>
          <t>Rounded up from the break-even on the BaaS sheet.</t>
        </is>
      </c>
    </row>
    <row r="52">
      <c r="A52" s="12" t="inlineStr">
        <is>
          <t>Fleet battery EMI 2035 (chosen)</t>
        </is>
      </c>
      <c r="B52" s="17" t="n">
        <v>1.7</v>
      </c>
      <c r="C52" s="12" t="inlineStr">
        <is>
          <t>₹/km</t>
        </is>
      </c>
      <c r="D52" s="7" t="inlineStr">
        <is>
          <t>Team decision</t>
        </is>
      </c>
      <c r="E52" s="14" t="inlineStr">
        <is>
          <t>Rounded up from the 2035 break-even.</t>
        </is>
      </c>
    </row>
    <row r="53">
      <c r="A53" s="12" t="inlineStr">
        <is>
          <t>Battery EMI for fleets contracting 80,000 km/yr (2028)</t>
        </is>
      </c>
      <c r="B53" s="17" t="n">
        <v>1.7</v>
      </c>
      <c r="C53" s="12" t="inlineStr">
        <is>
          <t>₹/km</t>
        </is>
      </c>
      <c r="D53" s="7" t="inlineStr">
        <is>
          <t>Team decision</t>
        </is>
      </c>
      <c r="E53" s="14" t="inlineStr">
        <is>
          <t>Usage-tiered pricing: the same battery spread over more contracted km. Rounded up from the 80,000 km break-even on the BaaS sheet.</t>
        </is>
      </c>
    </row>
    <row r="54">
      <c r="A54" s="12" t="inlineStr">
        <is>
          <t>Retail e VITARA BaaS rate (benchmark)</t>
        </is>
      </c>
      <c r="B54" s="17" t="n">
        <v>3.99</v>
      </c>
      <c r="C54" s="12" t="inlineStr">
        <is>
          <t>₹/km</t>
        </is>
      </c>
      <c r="D54" s="7" t="inlineStr">
        <is>
          <t>Sourced</t>
        </is>
      </c>
      <c r="E54" s="14" t="inlineStr">
        <is>
          <t>Maruti Suzuki press release, Feb 2026 (49 kWh pack).</t>
        </is>
      </c>
    </row>
    <row r="55">
      <c r="A55" s="12" t="inlineStr">
        <is>
          <t>Retail e VITARA BaaS usage basis</t>
        </is>
      </c>
      <c r="B55" s="13" t="n">
        <v>21900</v>
      </c>
      <c r="C55" s="12" t="inlineStr">
        <is>
          <t>km/yr</t>
        </is>
      </c>
      <c r="D55" s="7" t="inlineStr">
        <is>
          <t>Sourced (derived)</t>
        </is>
      </c>
      <c r="E55" s="14" t="inlineStr">
        <is>
          <t>Rate is quoted on ~60 km/day (Maruti minimum 1,800 km/month); 60 × 365 = 21,900.</t>
        </is>
      </c>
    </row>
    <row r="56">
      <c r="A56" s="12" t="inlineStr">
        <is>
          <t>e VITARA Delta (49 kWh) ex-showroom: BaaS price</t>
        </is>
      </c>
      <c r="B56" s="17" t="n">
        <v>10.99</v>
      </c>
      <c r="C56" s="12" t="inlineStr">
        <is>
          <t>₹ lakh</t>
        </is>
      </c>
      <c r="D56" s="7" t="inlineStr">
        <is>
          <t>Sourced</t>
        </is>
      </c>
      <c r="E56" s="14" t="inlineStr">
        <is>
          <t>Maruti Suzuki, Feb 2026.</t>
        </is>
      </c>
    </row>
    <row r="57">
      <c r="A57" s="12" t="inlineStr">
        <is>
          <t>e VITARA Delta (49 kWh) ex-showroom: with battery</t>
        </is>
      </c>
      <c r="B57" s="17" t="n">
        <v>15.99</v>
      </c>
      <c r="C57" s="12" t="inlineStr">
        <is>
          <t>₹ lakh</t>
        </is>
      </c>
      <c r="D57" s="7" t="inlineStr">
        <is>
          <t>Sourced</t>
        </is>
      </c>
      <c r="E57" s="14" t="inlineStr">
        <is>
          <t>Autocar India / Upstox, Feb 2026.</t>
        </is>
      </c>
    </row>
    <row r="58">
      <c r="A58" s="12" t="inlineStr">
        <is>
          <t>Nexa retail dealer margin (for the e VITARA walk)</t>
        </is>
      </c>
      <c r="B58" s="15" t="n">
        <v>0.05</v>
      </c>
      <c r="C58" s="12" t="inlineStr">
        <is>
          <t>%</t>
        </is>
      </c>
      <c r="D58" s="7" t="inlineStr">
        <is>
          <t>Team assumption</t>
        </is>
      </c>
      <c r="E58" s="14" t="inlineStr">
        <is>
          <t>Retail (Nexa) margins are higher than fleet margins.</t>
        </is>
      </c>
    </row>
    <row r="59">
      <c r="A59" s="4" t="inlineStr">
        <is>
          <t>6 · Driver revenue (illustrative only)</t>
        </is>
      </c>
      <c r="B59" s="5" t="n"/>
      <c r="C59" s="5" t="n"/>
      <c r="D59" s="5" t="n"/>
      <c r="E59" s="5" t="n"/>
    </row>
    <row r="60">
      <c r="A60" s="12" t="inlineStr">
        <is>
          <t>Net fare earnings to driver per km driven</t>
        </is>
      </c>
      <c r="B60" s="17" t="n">
        <v>13.5</v>
      </c>
      <c r="C60" s="12" t="inlineStr">
        <is>
          <t>₹/km</t>
        </is>
      </c>
      <c r="D60" s="7" t="inlineStr">
        <is>
          <t>Team assumption</t>
        </is>
      </c>
      <c r="E60" s="14" t="inlineStr">
        <is>
          <t>After platform commission and dead km. ONLY used for absolute income; the Tour-e uplift does not depend on it.</t>
        </is>
      </c>
    </row>
    <row r="61">
      <c r="A61" s="12" t="inlineStr">
        <is>
          <t>Example fleet size</t>
        </is>
      </c>
      <c r="B61" s="13" t="n">
        <v>100</v>
      </c>
      <c r="C61" s="12" t="inlineStr">
        <is>
          <t>cars</t>
        </is>
      </c>
      <c r="D61" s="7" t="inlineStr">
        <is>
          <t>Illustrative</t>
        </is>
      </c>
      <c r="E61" s="14" t="inlineStr">
        <is>
          <t>For fleet-level totals.</t>
        </is>
      </c>
    </row>
    <row r="62">
      <c r="A62" s="4" t="inlineStr">
        <is>
          <t>7 · Maruti programme</t>
        </is>
      </c>
      <c r="B62" s="5" t="n"/>
      <c r="C62" s="5" t="n"/>
      <c r="D62" s="5" t="n"/>
      <c r="E62" s="5" t="n"/>
    </row>
    <row r="63">
      <c r="A63" s="12" t="inlineStr">
        <is>
          <t>Maruti EV sales, September 2026</t>
        </is>
      </c>
      <c r="B63" s="13" t="n">
        <v>1104</v>
      </c>
      <c r="C63" s="12" t="inlineStr">
        <is>
          <t>units/month</t>
        </is>
      </c>
      <c r="D63" s="7" t="inlineStr">
        <is>
          <t>Sourced</t>
        </is>
      </c>
      <c r="E63" s="14" t="inlineStr">
        <is>
          <t>Vahan registrations, Sep 2026 (Autopunditz / Rushlane); about 3% of India's EV car market, vs Tata ~42%.</t>
        </is>
      </c>
    </row>
    <row r="64">
      <c r="A64" s="12" t="inlineStr">
        <is>
          <t>CAFE III super-credit multiplier for battery EVs</t>
        </is>
      </c>
      <c r="B64" s="13" t="n">
        <v>3</v>
      </c>
      <c r="C64" s="12" t="inlineStr">
        <is>
          <t>×</t>
        </is>
      </c>
      <c r="D64" s="7" t="inlineStr">
        <is>
          <t>Sourced</t>
        </is>
      </c>
      <c r="E64" s="14" t="inlineStr">
        <is>
          <t>CAFE III notified for 1 Apr 2027 – 31 Mar 2032: BEVs count 3× (Autocar India / Autocar Professional).</t>
        </is>
      </c>
    </row>
    <row r="65">
      <c r="A65" s="12" t="inlineStr">
        <is>
          <t>Tour-e programme capex (derivative of YMC)</t>
        </is>
      </c>
      <c r="B65" s="13" t="n">
        <v>1500</v>
      </c>
      <c r="C65" s="12" t="inlineStr">
        <is>
          <t>₹ crore</t>
        </is>
      </c>
      <c r="D65" s="7" t="inlineStr">
        <is>
          <t>Team assumption</t>
        </is>
      </c>
      <c r="E65" s="14" t="inlineStr">
        <is>
          <t>Body-side and sliding-door tooling, taxi trims, validation, FleetOS and BaaS set-up. Lower than a new platform because YMC carries the HEARTECT-e cost.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3A89E"/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1" customWidth="1" min="4" max="4"/>
    <col width="80" customWidth="1" min="5" max="5"/>
  </cols>
  <sheetData>
    <row r="1">
      <c r="A1" s="1" t="inlineStr">
        <is>
          <t>Bottom-up cost stack &amp; price build-up (₹ lakh per vehicle, 2026 ₹)</t>
        </is>
      </c>
    </row>
    <row r="2">
      <c r="A2" s="2" t="inlineStr">
        <is>
          <t>Team estimate for a HEARTECT-e derived compact MPV. Battery line is formula-driven; other lines are inputs (blue).</t>
        </is>
      </c>
    </row>
    <row r="4">
      <c r="A4" s="3" t="inlineStr">
        <is>
          <t>Cost line</t>
        </is>
      </c>
      <c r="B4" s="3" t="inlineStr">
        <is>
          <t>2028 launch</t>
        </is>
      </c>
      <c r="C4" s="3" t="inlineStr">
        <is>
          <t>2035 scale</t>
        </is>
      </c>
      <c r="D4" s="3" t="inlineStr">
        <is>
          <t>Change</t>
        </is>
      </c>
      <c r="E4" s="3" t="inlineStr">
        <is>
          <t>Basis</t>
        </is>
      </c>
    </row>
    <row r="5">
      <c r="A5" t="inlineStr">
        <is>
          <t>Battery pack (49 kWh, e VITARA / YMC pack)</t>
        </is>
      </c>
      <c r="B5" s="18">
        <f>Inputs!$B$17*Inputs!$B$36/100000</f>
        <v>3.92</v>
      </c>
      <c r="C5" s="18">
        <f>Inputs!$B$17*Inputs!$B$37/100000</f>
        <v>3.185</v>
      </c>
      <c r="D5" s="19">
        <f>C5/B5-1</f>
        <v>-0.1875</v>
      </c>
      <c r="E5" s="7" t="inlineStr">
        <is>
          <t>kWh × ₹/kWh (Inputs). 2028 ≈ BNEF China pack average.</t>
        </is>
      </c>
    </row>
    <row r="6">
      <c r="A6" t="inlineStr">
        <is>
          <t>Body-in-white, paint, closures (incl. powered sliding door)</t>
        </is>
      </c>
      <c r="B6" s="17" t="n">
        <v>1.55</v>
      </c>
      <c r="C6" s="17" t="n">
        <v>1.4</v>
      </c>
      <c r="D6" s="19">
        <f>C6/B6-1</f>
        <v>-0.09677419354838723</v>
      </c>
      <c r="E6" s="7" t="inlineStr">
        <is>
          <t>YMC body; taxi version adds a powered kerb-side slider.</t>
        </is>
      </c>
    </row>
    <row r="7">
      <c r="A7" t="inlineStr">
        <is>
          <t>Interior &amp; seats (5+2, fold-flat 3rd row)</t>
        </is>
      </c>
      <c r="B7" s="17" t="n">
        <v>0.95</v>
      </c>
      <c r="C7" s="17" t="n">
        <v>0.85</v>
      </c>
      <c r="D7" s="19">
        <f>C7/B7-1</f>
        <v>-0.10526315789473684</v>
      </c>
      <c r="E7" s="7" t="inlineStr">
        <is>
          <t>Taxi-grade washable trim.</t>
        </is>
      </c>
    </row>
    <row r="8">
      <c r="A8" t="inlineStr">
        <is>
          <t>Chassis, suspension, brakes, wheels</t>
        </is>
      </c>
      <c r="B8" s="17" t="n">
        <v>0.8</v>
      </c>
      <c r="C8" s="17" t="n">
        <v>0.72</v>
      </c>
      <c r="D8" s="19">
        <f>C8/B8-1</f>
        <v>-0.10000000000000009</v>
      </c>
      <c r="E8" s="7" t="inlineStr">
        <is>
          <t>Heavy-duty dampers and bushes for commercial duty.</t>
        </is>
      </c>
    </row>
    <row r="9">
      <c r="A9" t="inlineStr">
        <is>
          <t>Low-voltage electrics &amp; harness</t>
        </is>
      </c>
      <c r="B9" s="17" t="n">
        <v>0.5</v>
      </c>
      <c r="C9" s="17" t="n">
        <v>0.44</v>
      </c>
      <c r="D9" s="19">
        <f>C9/B9-1</f>
        <v>-0.12</v>
      </c>
      <c r="E9" s="7" t="inlineStr">
        <is>
          <t>Localised harness.</t>
        </is>
      </c>
    </row>
    <row r="10">
      <c r="A10" t="inlineStr">
        <is>
          <t>Safety: 6 airbags, ESP, AEB, DMS camera (ADAS-L2 optional)</t>
        </is>
      </c>
      <c r="B10" s="17" t="n">
        <v>0.4</v>
      </c>
      <c r="C10" s="17" t="n">
        <v>0.34</v>
      </c>
      <c r="D10" s="19">
        <f>C10/B10-1</f>
        <v>-0.15000000000000002</v>
      </c>
      <c r="E10" s="7" t="inlineStr">
        <is>
          <t>Full ADAS-L2 is a premium-trim option.</t>
        </is>
      </c>
    </row>
    <row r="11">
      <c r="A11" t="inlineStr">
        <is>
          <t>eAxle (motor + inverter + reducer), reduced rare-earth</t>
        </is>
      </c>
      <c r="B11" s="17" t="n">
        <v>0.75</v>
      </c>
      <c r="C11" s="17" t="n">
        <v>0.6</v>
      </c>
      <c r="D11" s="19">
        <f>C11/B11-1</f>
        <v>-0.20000000000000007</v>
      </c>
      <c r="E11" s="7" t="inlineStr">
        <is>
          <t>e VITARA eAxle; largest localisation gain by 2035.</t>
        </is>
      </c>
    </row>
    <row r="12">
      <c r="A12" t="inlineStr">
        <is>
          <t>HV electronics (7.4 kW OBC, DC-DC, junction box)</t>
        </is>
      </c>
      <c r="B12" s="17" t="n">
        <v>0.45</v>
      </c>
      <c r="C12" s="17" t="n">
        <v>0.36</v>
      </c>
      <c r="D12" s="19">
        <f>C12/B12-1</f>
        <v>-0.20000000000000007</v>
      </c>
      <c r="E12" s="7" t="inlineStr">
        <is>
          <t>Platform spec: 7.4 kW AC; CCS2 DC.</t>
        </is>
      </c>
    </row>
    <row r="13">
      <c r="A13" t="inlineStr">
        <is>
          <t>Thermal: liquid-cooled pack, heat pump, roof rear AC</t>
        </is>
      </c>
      <c r="B13" s="17" t="n">
        <v>0.45</v>
      </c>
      <c r="C13" s="17" t="n">
        <v>0.38</v>
      </c>
      <c r="D13" s="19">
        <f>C13/B13-1</f>
        <v>-0.15555555555555556</v>
      </c>
      <c r="E13" s="7" t="inlineStr">
        <is>
          <t>'India Heat Pack'.</t>
        </is>
      </c>
    </row>
    <row r="14">
      <c r="A14" t="inlineStr">
        <is>
          <t>Telematics / FleetOS hardware</t>
        </is>
      </c>
      <c r="B14" s="17" t="n">
        <v>0.1</v>
      </c>
      <c r="C14" s="17" t="n">
        <v>0.07000000000000001</v>
      </c>
      <c r="D14" s="19">
        <f>C14/B14-1</f>
        <v>-0.29999999999999993</v>
      </c>
      <c r="E14" s="7" t="inlineStr">
        <is>
          <t>4G/5G TCU, OTA-capable.</t>
        </is>
      </c>
    </row>
    <row r="15">
      <c r="A15" t="inlineStr">
        <is>
          <t>Assembly, overhead, logistics</t>
        </is>
      </c>
      <c r="B15" s="17" t="n">
        <v>0.85</v>
      </c>
      <c r="C15" s="17" t="n">
        <v>0.76</v>
      </c>
      <c r="D15" s="19">
        <f>C15/B15-1</f>
        <v>-0.10588235294117643</v>
      </c>
      <c r="E15" s="7" t="inlineStr">
        <is>
          <t>Built on the YMC line.</t>
        </is>
      </c>
    </row>
    <row r="16">
      <c r="A16" t="inlineStr">
        <is>
          <t>Warranty provision</t>
        </is>
      </c>
      <c r="B16" s="17" t="n">
        <v>0.3</v>
      </c>
      <c r="C16" s="17" t="n">
        <v>0.25</v>
      </c>
      <c r="D16" s="19">
        <f>C16/B16-1</f>
        <v>-0.16666666666666663</v>
      </c>
      <c r="E16" s="7" t="inlineStr">
        <is>
          <t>Vehicle warranty (battery risk sits with the BaaS programme).</t>
        </is>
      </c>
    </row>
    <row r="17">
      <c r="A17" t="inlineStr">
        <is>
          <t>R&amp;D / tooling amortisation</t>
        </is>
      </c>
      <c r="B17" s="17" t="n">
        <v>0.7</v>
      </c>
      <c r="C17" s="17" t="n">
        <v>0.62</v>
      </c>
      <c r="D17" s="19">
        <f>C17/B17-1</f>
        <v>-0.11428571428571421</v>
      </c>
      <c r="E17" s="7" t="inlineStr">
        <is>
          <t>Recovers the programme capex (see Maruti_Case).</t>
        </is>
      </c>
    </row>
    <row r="18">
      <c r="A18" s="20" t="inlineStr">
        <is>
          <t>Ex-factory cost (total)</t>
        </is>
      </c>
      <c r="B18" s="6">
        <f>SUM(B5:B17)</f>
        <v>11.719999999999999</v>
      </c>
      <c r="C18" s="6">
        <f>SUM(C5:C17)</f>
        <v>9.975</v>
      </c>
      <c r="D18" s="19">
        <f>C18/B18-1</f>
        <v>-0.14889078498293506</v>
      </c>
      <c r="E18" s="7" t="inlineStr">
        <is>
          <t>Sum of lines.</t>
        </is>
      </c>
    </row>
    <row r="19">
      <c r="A19" s="12" t="inlineStr">
        <is>
          <t xml:space="preserve">  of which battery share</t>
        </is>
      </c>
      <c r="B19" s="21">
        <f>B5/B18</f>
        <v>0.3344709897610922</v>
      </c>
      <c r="C19" s="21">
        <f>C5/C18</f>
        <v>0.3192982456140351</v>
      </c>
      <c r="D19" s="19">
        <f>C19/B19-1</f>
        <v>-0.04536340852130338</v>
      </c>
      <c r="E19" s="7" t="inlineStr"/>
    </row>
    <row r="20">
      <c r="A20" s="12" t="inlineStr">
        <is>
          <t xml:space="preserve">  Non-battery cost</t>
        </is>
      </c>
      <c r="B20" s="18">
        <f>B18-B5</f>
        <v>7.799999999999999</v>
      </c>
      <c r="C20" s="18">
        <f>C18-C5</f>
        <v>6.789999999999999</v>
      </c>
      <c r="D20" s="19">
        <f>C20/B20-1</f>
        <v>-0.12948717948717947</v>
      </c>
      <c r="E20" s="7" t="inlineStr"/>
    </row>
    <row r="22">
      <c r="A22" s="4" t="inlineStr">
        <is>
          <t>Price build-up</t>
        </is>
      </c>
      <c r="B22" s="5" t="n"/>
      <c r="C22" s="5" t="n"/>
      <c r="D22" s="5" t="n"/>
      <c r="E22" s="5" t="n"/>
    </row>
    <row r="23">
      <c r="A23" s="12" t="inlineStr">
        <is>
          <t>× OEM margin</t>
        </is>
      </c>
      <c r="B23" s="21">
        <f>Inputs!$B$39</f>
        <v>0.08</v>
      </c>
      <c r="C23" s="21">
        <f>Inputs!$B$39</f>
        <v>0.08</v>
      </c>
      <c r="D23" s="19">
        <f>C23/B23-1</f>
        <v>0.0</v>
      </c>
      <c r="E23" s="7" t="inlineStr">
        <is>
          <t>Inputs</t>
        </is>
      </c>
    </row>
    <row r="24">
      <c r="A24" s="12" t="inlineStr">
        <is>
          <t>× Dealer margin</t>
        </is>
      </c>
      <c r="B24" s="21">
        <f>Inputs!$B$40</f>
        <v>0.04</v>
      </c>
      <c r="C24" s="21">
        <f>Inputs!$B$40</f>
        <v>0.04</v>
      </c>
      <c r="D24" s="19">
        <f>C24/B24-1</f>
        <v>0.0</v>
      </c>
      <c r="E24" s="7" t="inlineStr">
        <is>
          <t>Inputs</t>
        </is>
      </c>
    </row>
    <row r="25">
      <c r="A25" s="12" t="inlineStr">
        <is>
          <t>× GST on EVs</t>
        </is>
      </c>
      <c r="B25" s="21">
        <f>Inputs!$B$41</f>
        <v>0.05</v>
      </c>
      <c r="C25" s="21">
        <f>Inputs!$B$41</f>
        <v>0.05</v>
      </c>
      <c r="D25" s="19">
        <f>C25/B25-1</f>
        <v>0.0</v>
      </c>
      <c r="E25" s="7" t="inlineStr">
        <is>
          <t>Inputs</t>
        </is>
      </c>
    </row>
    <row r="26">
      <c r="A26" s="12" t="inlineStr">
        <is>
          <t>Price multiplier on cost</t>
        </is>
      </c>
      <c r="B26" s="22">
        <f>(1+Inputs!$B$39)*(1+Inputs!$B$40)*(1+Inputs!$B$41)</f>
        <v>1.1793600000000002</v>
      </c>
      <c r="C26" s="22">
        <f>(1+Inputs!$B$39)*(1+Inputs!$B$40)*(1+Inputs!$B$41)</f>
        <v>1.1793600000000002</v>
      </c>
      <c r="D26" s="19">
        <f>C26/B26-1</f>
        <v>0.0</v>
      </c>
      <c r="E26" s="7" t="inlineStr">
        <is>
          <t>1.08 × 1.04 × 1.05</t>
        </is>
      </c>
    </row>
    <row r="27">
      <c r="A27" s="20" t="inlineStr">
        <is>
          <t>Ex-showroom price, bought outright (₹ L)</t>
        </is>
      </c>
      <c r="B27" s="6">
        <f>B18*B26</f>
        <v>13.8220992</v>
      </c>
      <c r="C27" s="6">
        <f>C18*C26</f>
        <v>11.764116000000001</v>
      </c>
      <c r="D27" s="19">
        <f>C27/B27-1</f>
        <v>-0.14889078498293506</v>
      </c>
      <c r="E27" s="7" t="inlineStr">
        <is>
          <t>Fleet price, bought outright.</t>
        </is>
      </c>
    </row>
    <row r="28">
      <c r="A28" s="20" t="inlineStr">
        <is>
          <t>Fleet BaaS: vehicle-only price (₹ L)</t>
        </is>
      </c>
      <c r="B28" s="6">
        <f>B20*B26</f>
        <v>9.199008000000001</v>
      </c>
      <c r="C28" s="6">
        <f>C20*C26</f>
        <v>8.0078544</v>
      </c>
      <c r="D28" s="19">
        <f>C28/B28-1</f>
        <v>-0.1294871794871797</v>
      </c>
      <c r="E28" s="7" t="inlineStr">
        <is>
          <t>Battery financed separately through the per-km battery EMI.</t>
        </is>
      </c>
    </row>
    <row r="29">
      <c r="A29" s="12" t="inlineStr">
        <is>
          <t>Battery price financed by the battery EMI (₹ L)</t>
        </is>
      </c>
      <c r="B29" s="18">
        <f>B5*(1+Inputs!$B$39)*(1+Inputs!$B$41)</f>
        <v>4.44528</v>
      </c>
      <c r="C29" s="18">
        <f>C5*(1+Inputs!$B$39)*(1+Inputs!$B$41)</f>
        <v>3.6117900000000005</v>
      </c>
      <c r="D29" s="19">
        <f>C29/B29-1</f>
        <v>-0.1875</v>
      </c>
      <c r="E29" s="7" t="inlineStr">
        <is>
          <t>Pack at cost + OEM margin + 5% GST (sold with the vehicle; no dealer margin on the battery).</t>
        </is>
      </c>
    </row>
    <row r="30">
      <c r="A30" s="12" t="inlineStr">
        <is>
          <t>Pack cost in US$/kWh (check)</t>
        </is>
      </c>
      <c r="B30" s="23">
        <f>Inputs!$B$36/Inputs!$B$38</f>
        <v>84.21052631578948</v>
      </c>
      <c r="C30" s="23">
        <f>Inputs!$B$37/Inputs!$B$38</f>
        <v>68.42105263157895</v>
      </c>
      <c r="D30" s="19">
        <f>C30/B30-1</f>
        <v>-0.1875000000000001</v>
      </c>
      <c r="E30" s="7" t="inlineStr">
        <is>
          <t>BNEF 2025: China avg $84/kWh; LFP avg $81/kWh; global $108/kWh.</t>
        </is>
      </c>
    </row>
    <row r="32">
      <c r="A32" s="4" t="inlineStr">
        <is>
          <t>Benchmarks (for context)</t>
        </is>
      </c>
      <c r="B32" s="5" t="n"/>
      <c r="C32" s="5" t="n"/>
      <c r="D32" s="5" t="n"/>
      <c r="E32" s="5" t="n"/>
    </row>
    <row r="33">
      <c r="A33" t="inlineStr">
        <is>
          <t>Ertiga Tour M CNG ex-showroom</t>
        </is>
      </c>
      <c r="B33" s="24">
        <f>Inputs!$B$31</f>
        <v>10.745</v>
      </c>
      <c r="E33" s="7" t="inlineStr">
        <is>
          <t>Maruti post-GST price list (Autocar India).</t>
        </is>
      </c>
    </row>
    <row r="34">
      <c r="A34" t="inlineStr">
        <is>
          <t>Retail e VITARA Delta – BaaS price / outright</t>
        </is>
      </c>
      <c r="B34" s="18" t="inlineStr">
        <is>
          <t>10.99 / 15.99</t>
        </is>
      </c>
      <c r="E34" s="7" t="inlineStr">
        <is>
          <t>Maruti Suzuki, Feb 2026. Walk from e VITARA to Tour-e: Price_Walk sheet.</t>
        </is>
      </c>
    </row>
    <row r="35">
      <c r="A35" t="inlineStr">
        <is>
          <t>Tour-e 2028 outright premium over Ertiga CNG</t>
        </is>
      </c>
      <c r="B35" s="18">
        <f>B27-Inputs!$B$31</f>
        <v>3.077099200000001</v>
      </c>
      <c r="E35" s="7" t="inlineStr">
        <is>
          <t>Repaid by running-cost savings – see Fleet_Economics.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13A89E"/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80" customWidth="1" min="3" max="3"/>
  </cols>
  <sheetData>
    <row r="1">
      <c r="A1" s="1" t="inlineStr">
        <is>
          <t>Why the Tour-e costs what it does: two anchors (₹ lakh, 2028)</t>
        </is>
      </c>
    </row>
    <row r="2">
      <c r="A2" s="2" t="inlineStr">
        <is>
          <t>Anchor A starts from the Ertiga Tour M taxi; anchor B from the e VITARA Delta. The chosen non-battery cost must sit between them.</t>
        </is>
      </c>
    </row>
    <row r="4">
      <c r="A4" s="3" t="inlineStr">
        <is>
          <t>Step</t>
        </is>
      </c>
      <c r="B4" s="3" t="inlineStr">
        <is>
          <t>₹ lakh</t>
        </is>
      </c>
      <c r="C4" s="3" t="inlineStr">
        <is>
          <t>Basis</t>
        </is>
      </c>
    </row>
    <row r="5">
      <c r="A5" s="4" t="inlineStr">
        <is>
          <t>Anchor A · from the Ertiga Tour M CNG (Maruti's taxi MPV today)</t>
        </is>
      </c>
      <c r="B5" s="5" t="n"/>
      <c r="C5" s="5" t="n"/>
    </row>
    <row r="6">
      <c r="A6" s="12" t="inlineStr">
        <is>
          <t>Ertiga Tour M CNG ex-showroom</t>
        </is>
      </c>
      <c r="B6" s="24">
        <f>Inputs!$B$31</f>
        <v>10.745</v>
      </c>
      <c r="C6" s="7" t="inlineStr">
        <is>
          <t>Maruti post-GST 2.0 price list.</t>
        </is>
      </c>
    </row>
    <row r="7">
      <c r="A7" s="12" t="inlineStr">
        <is>
          <t>÷ (1 + 40% GST)</t>
        </is>
      </c>
      <c r="B7" s="18">
        <f>B6/(1+Inputs!$B$43)</f>
        <v>7.675</v>
      </c>
      <c r="C7" s="7" t="inlineStr">
        <is>
          <t>GST 2.0 rate for cars over 4 m.</t>
        </is>
      </c>
    </row>
    <row r="8">
      <c r="A8" s="12" t="inlineStr">
        <is>
          <t>÷ (1 + 4% fleet dealer margin)</t>
        </is>
      </c>
      <c r="B8" s="18">
        <f>B7/(1+Inputs!$B$40)</f>
        <v>7.379807692307692</v>
      </c>
      <c r="C8" s="7" t="inlineStr"/>
    </row>
    <row r="9">
      <c r="A9" s="12" t="inlineStr">
        <is>
          <t>÷ (1 + 8% OEM margin) = Ertiga Tour M cost</t>
        </is>
      </c>
      <c r="B9" s="18">
        <f>B8/(1+Inputs!$B$39)</f>
        <v>6.833155270655269</v>
      </c>
      <c r="C9" s="7" t="inlineStr"/>
    </row>
    <row r="10">
      <c r="A10" s="12" t="inlineStr">
        <is>
          <t>− Engine and gearbox</t>
        </is>
      </c>
      <c r="B10" s="17" t="n">
        <v>0.75</v>
      </c>
      <c r="C10" s="7" t="inlineStr">
        <is>
          <t>K15 petrol engine and 5-speed manual (team estimate).</t>
        </is>
      </c>
    </row>
    <row r="11">
      <c r="A11" s="12" t="inlineStr">
        <is>
          <t>− CNG kit and cylinders</t>
        </is>
      </c>
      <c r="B11" s="17" t="n">
        <v>0.3</v>
      </c>
      <c r="C11" s="7" t="inlineStr">
        <is>
          <t>Factory CNG kit, ~60 L water-capacity cylinders.</t>
        </is>
      </c>
    </row>
    <row r="12">
      <c r="A12" s="12" t="inlineStr">
        <is>
          <t>− Fuel, exhaust, cooling, starter and alternator</t>
        </is>
      </c>
      <c r="B12" s="17" t="n">
        <v>0.3</v>
      </c>
      <c r="C12" s="7" t="inlineStr"/>
    </row>
    <row r="13">
      <c r="A13" s="12" t="inlineStr">
        <is>
          <t>→ Glider (body, interior, chassis, electrics, assembly)</t>
        </is>
      </c>
      <c r="B13" s="18">
        <f>B9-SUM(B10:B12)</f>
        <v>5.483155270655269</v>
      </c>
      <c r="C13" s="7" t="inlineStr"/>
    </row>
    <row r="14">
      <c r="A14" s="12" t="inlineStr">
        <is>
          <t>+ eAxle (motor, inverter, reducer)</t>
        </is>
      </c>
      <c r="B14" s="17" t="n">
        <v>0.75</v>
      </c>
      <c r="C14" s="7" t="inlineStr">
        <is>
          <t>e VITARA-class eAxle.</t>
        </is>
      </c>
    </row>
    <row r="15">
      <c r="A15" s="12" t="inlineStr">
        <is>
          <t>+ HV electronics (OBC, DC-DC, junction box)</t>
        </is>
      </c>
      <c r="B15" s="17" t="n">
        <v>0.45</v>
      </c>
      <c r="C15" s="7" t="inlineStr"/>
    </row>
    <row r="16">
      <c r="A16" s="12" t="inlineStr">
        <is>
          <t>+ Thermal: liquid-cooled pack, heat pump, roof rear AC</t>
        </is>
      </c>
      <c r="B16" s="17" t="n">
        <v>0.45</v>
      </c>
      <c r="C16" s="7" t="inlineStr">
        <is>
          <t>'India Heat Pack'.</t>
        </is>
      </c>
    </row>
    <row r="17">
      <c r="A17" s="12" t="inlineStr">
        <is>
          <t>+ Skateboard floor and powered sliding door</t>
        </is>
      </c>
      <c r="B17" s="17" t="n">
        <v>0.35</v>
      </c>
      <c r="C17" s="7" t="inlineStr"/>
    </row>
    <row r="18">
      <c r="A18" s="12" t="inlineStr">
        <is>
          <t>+ AEB and driver-monitoring camera</t>
        </is>
      </c>
      <c r="B18" s="17" t="n">
        <v>0.2</v>
      </c>
      <c r="C18" s="7" t="inlineStr">
        <is>
          <t>ADAS-L2 stays optional.</t>
        </is>
      </c>
    </row>
    <row r="19">
      <c r="A19" s="12" t="inlineStr">
        <is>
          <t>+ Telematics (FleetOS)</t>
        </is>
      </c>
      <c r="B19" s="17" t="n">
        <v>0.1</v>
      </c>
      <c r="C19" s="7" t="inlineStr"/>
    </row>
    <row r="20">
      <c r="A20" s="20" t="inlineStr">
        <is>
          <t>→ Anchor A: Tour-e non-battery cost</t>
        </is>
      </c>
      <c r="B20" s="6">
        <f>B13+SUM(B14:B19)</f>
        <v>7.78315527065527</v>
      </c>
      <c r="C20" s="7" t="inlineStr">
        <is>
          <t>Bottom-up from Maruti's current taxi.</t>
        </is>
      </c>
    </row>
    <row r="22">
      <c r="A22" s="4" t="inlineStr">
        <is>
          <t>Anchor B · from the e VITARA Delta (Maruti's HEARTECT-e EV today)</t>
        </is>
      </c>
      <c r="B22" s="5" t="n"/>
      <c r="C22" s="5" t="n"/>
    </row>
    <row r="23">
      <c r="A23" s="12" t="inlineStr">
        <is>
          <t>e VITARA Delta BaaS price (battery excluded)</t>
        </is>
      </c>
      <c r="B23" s="18">
        <f>Inputs!$B$56</f>
        <v>10.99</v>
      </c>
      <c r="C23" s="7" t="inlineStr">
        <is>
          <t>Maruti Suzuki, Feb 2026.</t>
        </is>
      </c>
    </row>
    <row r="24">
      <c r="A24" s="12" t="inlineStr">
        <is>
          <t>÷ (1 + 5% GST)</t>
        </is>
      </c>
      <c r="B24" s="18">
        <f>B23/(1+Inputs!$B$41)</f>
        <v>10.466666666666667</v>
      </c>
      <c r="C24" s="7" t="inlineStr"/>
    </row>
    <row r="25">
      <c r="A25" s="12" t="inlineStr">
        <is>
          <t>÷ (1 + 5% Nexa retail dealer margin)</t>
        </is>
      </c>
      <c r="B25" s="18">
        <f>B24/(1+Inputs!$B$58)</f>
        <v>9.968253968253968</v>
      </c>
      <c r="C25" s="7" t="inlineStr"/>
    </row>
    <row r="26">
      <c r="A26" s="12" t="inlineStr">
        <is>
          <t>÷ (1 + 8% OEM margin) = e VITARA non-battery cost</t>
        </is>
      </c>
      <c r="B26" s="18">
        <f>B25/(1+Inputs!$B$39)</f>
        <v>9.229864785420341</v>
      </c>
      <c r="C26" s="7" t="inlineStr"/>
    </row>
    <row r="27">
      <c r="A27" s="12" t="inlineStr">
        <is>
          <t>− Nexa premium content</t>
        </is>
      </c>
      <c r="B27" s="17" t="n">
        <v>-0.7</v>
      </c>
      <c r="C27" s="7" t="inlineStr">
        <is>
          <t>18-inch alloys, dual screens, premium trim and audio, ventilated seats, ambient lighting.</t>
        </is>
      </c>
    </row>
    <row r="28">
      <c r="A28" s="12" t="inlineStr">
        <is>
          <t>− Launch-volume and localisation gains by 2028</t>
        </is>
      </c>
      <c r="B28" s="17" t="n">
        <v>-0.75</v>
      </c>
      <c r="C28" s="7" t="inlineStr">
        <is>
          <t>Low-volume 2026 launch with imported parts vs. 50k/yr fleet volume and localised pack, BMS and thermal.</t>
        </is>
      </c>
    </row>
    <row r="29">
      <c r="A29" s="12" t="inlineStr">
        <is>
          <t>+ MPV body, 3rd row, sliding door, roof rear AC</t>
        </is>
      </c>
      <c r="B29" s="17" t="n">
        <v>0.45</v>
      </c>
      <c r="C29" s="7" t="inlineStr"/>
    </row>
    <row r="30">
      <c r="A30" s="20" t="inlineStr">
        <is>
          <t>→ Anchor B: Tour-e non-battery cost</t>
        </is>
      </c>
      <c r="B30" s="6">
        <f>B26+SUM(B27:B29)</f>
        <v>8.229864785420341</v>
      </c>
      <c r="C30" s="7" t="inlineStr">
        <is>
          <t>Top-down from Maruti's current EV.</t>
        </is>
      </c>
    </row>
    <row r="32">
      <c r="A32" s="4" t="inlineStr">
        <is>
          <t>Result</t>
        </is>
      </c>
      <c r="B32" s="5" t="n"/>
      <c r="C32" s="5" t="n"/>
    </row>
    <row r="33">
      <c r="A33" s="20" t="inlineStr">
        <is>
          <t>Chosen non-battery cost (Cost_Price stack)</t>
        </is>
      </c>
      <c r="B33" s="6">
        <f>Cost_Price!$B$20</f>
        <v>7.799999999999999</v>
      </c>
      <c r="C33" s="7" t="inlineStr">
        <is>
          <t>Sum of the cost lines on Cost_Price.</t>
        </is>
      </c>
    </row>
    <row r="34">
      <c r="A34" s="12" t="inlineStr">
        <is>
          <t>Sits between the two anchors?</t>
        </is>
      </c>
      <c r="B34" s="25" t="str">
        <f>IF(AND(B33&gt;=MIN(B20,B30),B33&lt;=MAX(B20,B30)),"Yes","No")</f>
        <v>Yes</v>
      </c>
      <c r="C34" s="7" t="inlineStr">
        <is>
          <t>Check.</t>
        </is>
      </c>
    </row>
    <row r="35">
      <c r="A35" s="12" t="inlineStr">
        <is>
          <t>Tour-e outright price vs e VITARA Delta with battery (₹ L)</t>
        </is>
      </c>
      <c r="B35" s="18">
        <f>Cost_Price!$B$27-Inputs!$B$57</f>
        <v>-2.1679008</v>
      </c>
      <c r="C35" s="7" t="inlineStr">
        <is>
          <t>Negative = Tour-e is cheaper: taxi spec, fleet margins and 2028 battery cost.</t>
        </is>
      </c>
    </row>
    <row r="36">
      <c r="A36" s="12" t="inlineStr">
        <is>
          <t>Tour-e battery-EMI price vs e VITARA Delta BaaS price (₹ L)</t>
        </is>
      </c>
      <c r="B36" s="18">
        <f>Cost_Price!$B$28-Inputs!$B$56</f>
        <v>-1.7909919999999993</v>
      </c>
      <c r="C36" s="7" t="inlineStr"/>
    </row>
    <row r="37">
      <c r="A37" s="12" t="inlineStr">
        <is>
          <t>e VITARA battery value implied by Maruti's prices (₹ L)</t>
        </is>
      </c>
      <c r="B37" s="18">
        <f>Inputs!$B$57-Inputs!$B$56</f>
        <v>5.0</v>
      </c>
      <c r="C37" s="7" t="inlineStr">
        <is>
          <t>15.99 − 10.99; includes 2026 cell cost, Nexa margin and GST.</t>
        </is>
      </c>
    </row>
    <row r="38">
      <c r="A38" s="12" t="inlineStr">
        <is>
          <t>Tour-e battery price financed, 2028 (₹ L)</t>
        </is>
      </c>
      <c r="B38" s="18">
        <f>Cost_Price!$B$29</f>
        <v>4.44528</v>
      </c>
      <c r="C38" s="7" t="inlineStr">
        <is>
          <t>Same 49 kWh pack at 2028 cost, fleet margin, 5% GST.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13A89E"/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80" customWidth="1" min="4" max="4"/>
  </cols>
  <sheetData>
    <row r="1">
      <c r="A1" s="1" t="inlineStr">
        <is>
          <t>Fleet battery EMI (BaaS): break-even rate</t>
        </is>
      </c>
    </row>
    <row r="2">
      <c r="A2" s="2" t="inlineStr">
        <is>
          <t>Same dual-loan structure as Maruti's e VITARA BaaS: the battery is sold with the car (5% GST) and financed per km by an NBFC, with an assured buy-back at 25%.</t>
        </is>
      </c>
    </row>
    <row r="4">
      <c r="A4" s="3" t="inlineStr">
        <is>
          <t>Step</t>
        </is>
      </c>
      <c r="B4" s="3" t="inlineStr">
        <is>
          <t>2028</t>
        </is>
      </c>
      <c r="C4" s="3" t="inlineStr">
        <is>
          <t>2035</t>
        </is>
      </c>
      <c r="D4" s="3" t="inlineStr">
        <is>
          <t>Formula / note</t>
        </is>
      </c>
    </row>
    <row r="5">
      <c r="A5" s="12" t="inlineStr">
        <is>
          <t>Battery price financed (₹ L)</t>
        </is>
      </c>
      <c r="B5" s="18">
        <f>Cost_Price!$B$29</f>
        <v>4.44528</v>
      </c>
      <c r="C5" s="18">
        <f>Cost_Price!$C$29</f>
        <v>3.6117900000000005</v>
      </c>
      <c r="D5" s="7" t="inlineStr">
        <is>
          <t>From Cost_Price: cost + OEM margin + 5% GST.</t>
        </is>
      </c>
    </row>
    <row r="6">
      <c r="A6" s="12" t="inlineStr">
        <is>
          <t>Annual capital recovery net of residual (₹ L/yr)</t>
        </is>
      </c>
      <c r="B6" s="18">
        <f>PMT(Inputs!$B$45,Inputs!$B$46,-B5,Inputs!$B$47*B5)</f>
        <v>1.0243157891097439</v>
      </c>
      <c r="C6" s="18">
        <f>PMT(Inputs!$B$45,Inputs!$B$46,-C5,Inputs!$B$47*C5)</f>
        <v>0.8322565786516669</v>
      </c>
      <c r="D6" s="7" t="inlineStr">
        <is>
          <t>PMT(11%, 5 yrs, battery price, 25% buy-back as future value).</t>
        </is>
      </c>
    </row>
    <row r="7">
      <c r="A7" s="12" t="inlineStr">
        <is>
          <t>+ Risk reserve</t>
        </is>
      </c>
      <c r="B7" s="18">
        <f>B6*Inputs!$B$48</f>
        <v>0.10243157891097439</v>
      </c>
      <c r="C7" s="18">
        <f>C6*Inputs!$B$48</f>
        <v>0.0832256578651667</v>
      </c>
      <c r="D7" s="7" t="inlineStr">
        <is>
          <t>10% of capital recovery; funds the buy-back guarantee and early replacements.</t>
        </is>
      </c>
    </row>
    <row r="8">
      <c r="A8" s="12" t="inlineStr">
        <is>
          <t>+ Programme margin</t>
        </is>
      </c>
      <c r="B8" s="18">
        <f>(B6+B7)*Inputs!$B$49</f>
        <v>0.09013978944165746</v>
      </c>
      <c r="C8" s="18">
        <f>(C6+C7)*Inputs!$B$49</f>
        <v>0.07323857892134669</v>
      </c>
      <c r="D8" s="7" t="inlineStr">
        <is>
          <t>8% on cost incl. reserve.</t>
        </is>
      </c>
    </row>
    <row r="9">
      <c r="A9" s="20" t="inlineStr">
        <is>
          <t>Annual EMI revenue required (₹ L/yr)</t>
        </is>
      </c>
      <c r="B9" s="6">
        <f>B6+B7+B8</f>
        <v>1.2168871574623759</v>
      </c>
      <c r="C9" s="6">
        <f>C6+C7+C8</f>
        <v>0.9887208154381802</v>
      </c>
      <c r="D9" s="7" t="inlineStr"/>
    </row>
    <row r="10">
      <c r="A10" s="20" t="inlineStr">
        <is>
          <t>Break-even at minimum contract km (₹/km)</t>
        </is>
      </c>
      <c r="B10" s="6">
        <f>B9*100000/Inputs!$B$50</f>
        <v>2.028145262437293</v>
      </c>
      <c r="C10" s="6">
        <f>C9*100000/Inputs!$B$50</f>
        <v>1.6478680257303004</v>
      </c>
      <c r="D10" s="7" t="inlineStr">
        <is>
          <t>Minimum contracted km: 60,000 a year.</t>
        </is>
      </c>
    </row>
    <row r="11">
      <c r="A11" s="12" t="inlineStr">
        <is>
          <t>Break-even at fleet km (₹/km)</t>
        </is>
      </c>
      <c r="B11" s="18">
        <f>B9*100000/Inputs!$B$8</f>
        <v>1.52110894682797</v>
      </c>
      <c r="C11" s="18">
        <f>C9*100000/Inputs!$B$8</f>
        <v>1.2359010192977253</v>
      </c>
      <c r="D11" s="7" t="inlineStr">
        <is>
          <t>Upside for the programme when fleets run 80,000 km.</t>
        </is>
      </c>
    </row>
    <row r="12">
      <c r="A12" s="20" t="inlineStr">
        <is>
          <t>Chosen fleet battery EMI (₹/km)</t>
        </is>
      </c>
      <c r="B12" s="6">
        <f>Inputs!$B$51</f>
        <v>2.1</v>
      </c>
      <c r="C12" s="6">
        <f>Inputs!$B$52</f>
        <v>1.7</v>
      </c>
      <c r="D12" s="7" t="inlineStr">
        <is>
          <t>Rounded up above break-even.</t>
        </is>
      </c>
    </row>
    <row r="13">
      <c r="A13" s="12" t="inlineStr">
        <is>
          <t>Headroom over break-even at minimum km</t>
        </is>
      </c>
      <c r="B13" s="26">
        <f>B12/B10-1</f>
        <v>0.0354287924506731</v>
      </c>
      <c r="C13" s="26">
        <f>C12/C10-1</f>
        <v>0.031636012991147044</v>
      </c>
      <c r="D13" s="7" t="inlineStr">
        <is>
          <t>Must be ≥ 0.</t>
        </is>
      </c>
    </row>
    <row r="14">
      <c r="A14" s="12" t="inlineStr">
        <is>
          <t>Programme margin at fleet km after costs (₹ L/yr/car)</t>
        </is>
      </c>
      <c r="B14" s="18">
        <f>B12*Inputs!$B$8/100000-B6-B7</f>
        <v>0.5532526319792817</v>
      </c>
      <c r="C14" s="18">
        <f>C12*Inputs!$B$8/100000-C6-C7</f>
        <v>0.4445177634831665</v>
      </c>
      <c r="D14" s="7" t="inlineStr">
        <is>
          <t>EMI revenue at 80k km minus capital recovery and reserve.</t>
        </is>
      </c>
    </row>
    <row r="15">
      <c r="A15" s="12" t="inlineStr">
        <is>
          <t>For reference: same EMI if structured as a lease (incl. 18% GST)</t>
        </is>
      </c>
      <c r="B15" s="18">
        <f>B12*(1+Inputs!$B$42)</f>
        <v>2.4779999999999998</v>
      </c>
      <c r="C15" s="18">
        <f>C12*(1+Inputs!$B$42)</f>
        <v>2.006</v>
      </c>
      <c r="D15" s="7" t="inlineStr">
        <is>
          <t>Why the loan structure matters: a lease would add 18% GST that cab operators cannot recover.</t>
        </is>
      </c>
    </row>
    <row r="16">
      <c r="A16" s="20" t="inlineStr">
        <is>
          <t>Fleet tier: battery EMI for 80,000 km contracts (₹/km)</t>
        </is>
      </c>
      <c r="B16" s="6">
        <f>Inputs!$B$53</f>
        <v>1.7</v>
      </c>
      <c r="C16" s="6" t="inlineStr"/>
      <c r="D16" s="7" t="inlineStr">
        <is>
          <t>Headroom over the 80,000 km break-even shown next.</t>
        </is>
      </c>
    </row>
    <row r="17">
      <c r="A17" s="12" t="inlineStr">
        <is>
          <t>Headroom over the 80,000 km break-even</t>
        </is>
      </c>
      <c r="B17" s="26">
        <f>B16/B11-1</f>
        <v>0.11760568074040911</v>
      </c>
      <c r="C17" s="26" t="inlineStr"/>
      <c r="D17" s="7" t="inlineStr">
        <is>
          <t>Must be ≥ 0.</t>
        </is>
      </c>
    </row>
    <row r="19">
      <c r="A19" s="4" t="inlineStr">
        <is>
          <t>Why the fleet rate is half the retail e VITARA rate</t>
        </is>
      </c>
      <c r="B19" s="5" t="n"/>
      <c r="C19" s="5" t="n"/>
      <c r="D19" s="5" t="n"/>
    </row>
    <row r="20">
      <c r="A20" s="12" t="inlineStr">
        <is>
          <t>Retail e VITARA BaaS (₹/km)</t>
        </is>
      </c>
      <c r="B20" s="18">
        <f>Inputs!$B$54</f>
        <v>3.99</v>
      </c>
      <c r="C20" s="18" t="inlineStr"/>
      <c r="D20" s="7" t="inlineStr">
        <is>
          <t>Maruti Suzuki, Feb 2026.</t>
        </is>
      </c>
    </row>
    <row r="21">
      <c r="A21" s="12" t="inlineStr">
        <is>
          <t>Retail usage basis (km/yr)</t>
        </is>
      </c>
      <c r="B21" s="27">
        <f>Inputs!$B$55</f>
        <v>21900.0</v>
      </c>
      <c r="C21" s="27" t="inlineStr"/>
      <c r="D21" s="7" t="inlineStr">
        <is>
          <t>~60 km/day.</t>
        </is>
      </c>
    </row>
    <row r="22">
      <c r="A22" s="12" t="inlineStr">
        <is>
          <t>Fleet minimum km ÷ retail km</t>
        </is>
      </c>
      <c r="B22" s="28">
        <f>Inputs!$B$50/Inputs!$B$55</f>
        <v>2.73972602739726</v>
      </c>
      <c r="C22" s="28" t="inlineStr"/>
      <c r="D22" s="7" t="inlineStr">
        <is>
          <t>Same pack, ~2.7× the km → far lower ₹/km.</t>
        </is>
      </c>
    </row>
    <row r="23">
      <c r="A23" s="12" t="inlineStr">
        <is>
          <t>Retail rate spread over fleet km (₹/km)</t>
        </is>
      </c>
      <c r="B23" s="18">
        <f>Inputs!$B$54*Inputs!$B$55/Inputs!$B$50</f>
        <v>1.45635</v>
      </c>
      <c r="C23" s="18" t="inlineStr"/>
      <c r="D23" s="7" t="inlineStr">
        <is>
          <t>Pure scaling of the retail rate. The fleet EMI sits above this, so it is conservative for the programme.</t>
        </is>
      </c>
    </row>
    <row r="25">
      <c r="A25" s="4" t="inlineStr">
        <is>
          <t>Battery duty check</t>
        </is>
      </c>
      <c r="B25" s="5" t="n"/>
      <c r="C25" s="5" t="n"/>
      <c r="D25" s="5" t="n"/>
    </row>
    <row r="26">
      <c r="A26" s="12" t="inlineStr">
        <is>
          <t>Lifetime km at fleet duty (5 yrs)</t>
        </is>
      </c>
      <c r="B26" s="27">
        <f>Inputs!$B$8*Inputs!$B$6</f>
        <v>400000.0</v>
      </c>
      <c r="C26" s="27" t="inlineStr"/>
      <c r="D26" s="7" t="inlineStr">
        <is>
          <t>4 lakh km design life.</t>
        </is>
      </c>
    </row>
    <row r="27">
      <c r="A27" s="12" t="inlineStr">
        <is>
          <t>Energy throughput at battery (kWh)</t>
        </is>
      </c>
      <c r="B27" s="27">
        <f>B26*Inputs!$B$20</f>
        <v>60000.0</v>
      </c>
      <c r="C27" s="27" t="inlineStr"/>
      <c r="D27" s="7" t="inlineStr"/>
    </row>
    <row r="28">
      <c r="A28" s="12" t="inlineStr">
        <is>
          <t>Equivalent full cycles (usable kWh)</t>
        </is>
      </c>
      <c r="B28" s="27">
        <f>B27/Inputs!$B$18</f>
        <v>1304.3478260869565</v>
      </c>
      <c r="C28" s="27" t="inlineStr"/>
      <c r="D28" s="7" t="inlineStr">
        <is>
          <t>≈1,300–1,450 equivalent full cycles over 5 years – well within LFP cycle life (automotive LFP cells are typically rated 3,000+ cycles).</t>
        </is>
      </c>
    </row>
    <row r="29">
      <c r="A29" s="12" t="inlineStr">
        <is>
          <t>Real-world city range (km)</t>
        </is>
      </c>
      <c r="B29" s="29">
        <f>Inputs!$B$18/Inputs!$B$20</f>
        <v>306.6666666666667</v>
      </c>
      <c r="C29" s="29" t="inlineStr"/>
      <c r="D29" s="7" t="inlineStr">
        <is>
          <t>46 kWh usable ÷ 150 Wh/km.</t>
        </is>
      </c>
    </row>
    <row r="30">
      <c r="A30" s="12" t="inlineStr">
        <is>
          <t>Range at 70% SoH end-of-life (km)</t>
        </is>
      </c>
      <c r="B30" s="29">
        <f>Inputs!$B$18*0.7/Inputs!$B$20</f>
        <v>214.66666666666666</v>
      </c>
      <c r="C30" s="29" t="inlineStr"/>
      <c r="D30" s="7" t="inlineStr">
        <is>
          <t>Still covers a 200 km owner-driver day.</t>
        </is>
      </c>
    </row>
    <row r="31">
      <c r="A31" s="12" t="inlineStr">
        <is>
          <t>Fleet day (km)</t>
        </is>
      </c>
      <c r="B31" s="29">
        <f>Inputs!$B$8/Inputs!$B$10</f>
        <v>250.0</v>
      </c>
      <c r="C31" s="29" t="inlineStr"/>
      <c r="D31" s="7" t="inlineStr">
        <is>
          <t>80,000 km ÷ 320 days.</t>
        </is>
      </c>
    </row>
    <row r="32">
      <c r="A32" s="12" t="inlineStr">
        <is>
          <t>Shortfall at end of life, fleet day (km)</t>
        </is>
      </c>
      <c r="B32" s="29">
        <f>MAX(0,B31-B30)</f>
        <v>35.33333333333334</v>
      </c>
      <c r="C32" s="29" t="inlineStr"/>
      <c r="D32" s="7" t="inlineStr">
        <is>
          <t>Covered by one DC top-up a day from about year 3.</t>
        </is>
      </c>
    </row>
    <row r="33">
      <c r="A33" s="12" t="inlineStr">
        <is>
          <t>Km per day already budgeted on public DC (fleet)</t>
        </is>
      </c>
      <c r="B33" s="29">
        <f>(1-Inputs!$B$26)*B31</f>
        <v>49.999999999999986</v>
      </c>
      <c r="C33" s="29" t="inlineStr"/>
      <c r="D33" s="7" t="inlineStr">
        <is>
          <t>The 20% DC share in the TCO already pays for this top-up, so no extra cost.</t>
        </is>
      </c>
    </row>
    <row r="34">
      <c r="A34" s="12" t="inlineStr">
        <is>
          <t>Tour-e Long range, city (km)</t>
        </is>
      </c>
      <c r="B34" s="29">
        <f>Inputs!$B$19/Inputs!$B$20</f>
        <v>380.0</v>
      </c>
      <c r="C34" s="29" t="inlineStr"/>
      <c r="D34" s="7" t="inlineStr">
        <is>
          <t>61 kWh pack, 57 kWh usable.</t>
        </is>
      </c>
    </row>
    <row r="35">
      <c r="A35" s="12" t="inlineStr">
        <is>
          <t>Tour-e Long range, highway at ~100 km/h (km)</t>
        </is>
      </c>
      <c r="B35" s="29">
        <f>Inputs!$B$19/Inputs!$B$21</f>
        <v>316.6666666666667</v>
      </c>
      <c r="C35" s="29" t="inlineStr"/>
      <c r="D35" s="7" t="inlineStr">
        <is>
          <t>Covers 280–300 km corridors (e.g. Delhi–Jaipur) one way; top up before the return leg.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13A89E"/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5-year TCO per km – Tour-e vs Ertiga Tour M CNG (2028 launch prices)</t>
        </is>
      </c>
    </row>
    <row r="2">
      <c r="A2" s="2" t="inlineStr">
        <is>
          <t>Capital = annualised loan cost net of residual (PMT) + insurance. Driver wage excluded. 2026 ₹.</t>
        </is>
      </c>
    </row>
    <row r="4">
      <c r="A4" t="inlineStr">
        <is>
          <t>Owner-driver: annual km =</t>
        </is>
      </c>
      <c r="B4" s="30">
        <f>Inputs!$B$7</f>
        <v>60000.0</v>
      </c>
    </row>
    <row r="5">
      <c r="A5" s="3" t="inlineStr">
        <is>
          <t>OWNER-DRIVER @ 60k km/yr</t>
        </is>
      </c>
      <c r="B5" s="3" t="inlineStr">
        <is>
          <t>Ertiga CNG</t>
        </is>
      </c>
      <c r="C5" s="3" t="inlineStr">
        <is>
          <t>Tour-e + battery EMI</t>
        </is>
      </c>
      <c r="D5" s="3" t="inlineStr">
        <is>
          <t>Tour-e outright</t>
        </is>
      </c>
      <c r="E5" s="3" t="inlineStr">
        <is>
          <t>How it is calculated</t>
        </is>
      </c>
    </row>
    <row r="6">
      <c r="A6" t="inlineStr">
        <is>
          <t>Energy (₹/km)</t>
        </is>
      </c>
      <c r="B6" s="18">
        <f>ROUND(Inputs!$B$32/Inputs!$B$33,2)</f>
        <v>4.25</v>
      </c>
      <c r="C6" s="18">
        <f>ROUND(Inputs!$B$20/Inputs!$B$22*(Inputs!$B$27*Inputs!$B$24+(1-Inputs!$B$27)*Inputs!$B$25),2)</f>
        <v>2.13</v>
      </c>
      <c r="D6" s="18">
        <f>ROUND(Inputs!$B$20/Inputs!$B$22*(Inputs!$B$27*Inputs!$B$24+(1-Inputs!$B$27)*Inputs!$B$25),2)</f>
        <v>2.13</v>
      </c>
      <c r="E6" s="7" t="inlineStr">
        <is>
          <t>CNG: ₹/kg ÷ km/kg. EV: kWh/km ÷ charging eff. × blended tariff (80% Maruti driver hub ₹11, 20% public DC ₹20 = ₹12.8).</t>
        </is>
      </c>
    </row>
    <row r="7">
      <c r="A7" t="inlineStr">
        <is>
          <t>Maintenance &amp; tyres (₹/km)</t>
        </is>
      </c>
      <c r="B7" s="18">
        <f>Inputs!$B$34</f>
        <v>0.95</v>
      </c>
      <c r="C7" s="18">
        <f>Inputs!$B$29</f>
        <v>0.55</v>
      </c>
      <c r="D7" s="18">
        <f>Inputs!$B$29</f>
        <v>0.55</v>
      </c>
      <c r="E7" s="7" t="inlineStr">
        <is>
          <t>Inputs.</t>
        </is>
      </c>
    </row>
    <row r="8">
      <c r="A8" t="inlineStr">
        <is>
          <t>Battery EMI (₹/km)</t>
        </is>
      </c>
      <c r="B8" s="18">
        <f>0</f>
        <v>0.0</v>
      </c>
      <c r="C8" s="18">
        <f>Inputs!$B$51</f>
        <v>2.1</v>
      </c>
      <c r="D8" s="18">
        <f>0</f>
        <v>0.0</v>
      </c>
      <c r="E8" s="7" t="inlineStr">
        <is>
          <t>Battery EMI, 2028, tiered by contracted km (a loan, so no GST on it).</t>
        </is>
      </c>
    </row>
    <row r="9">
      <c r="A9" t="inlineStr">
        <is>
          <t>Upfront price (₹ lakh)</t>
        </is>
      </c>
      <c r="B9" s="24">
        <f>Inputs!$B$31</f>
        <v>10.745</v>
      </c>
      <c r="C9" s="24">
        <f>Cost_Price!$B$28</f>
        <v>9.199008000000001</v>
      </c>
      <c r="D9" s="24">
        <f>Cost_Price!$B$27</f>
        <v>13.8220992</v>
      </c>
      <c r="E9" s="7" t="inlineStr">
        <is>
          <t>Ex-showroom; battery-EMI car excludes the battery. Road-tax/permit waivers for EVs excluded (conservative).</t>
        </is>
      </c>
    </row>
    <row r="10">
      <c r="A10" t="inlineStr">
        <is>
          <t>Residual at year 5</t>
        </is>
      </c>
      <c r="B10" s="21">
        <f>Inputs!$B$13</f>
        <v>0.15</v>
      </c>
      <c r="C10" s="21">
        <f>Inputs!$B$15</f>
        <v>0.2</v>
      </c>
      <c r="D10" s="21">
        <f>Inputs!$B$14</f>
        <v>0.15</v>
      </c>
      <c r="E10" s="7" t="inlineStr">
        <is>
          <t>Inputs.</t>
        </is>
      </c>
    </row>
    <row r="11">
      <c r="A11" t="inlineStr">
        <is>
          <t>Capital: annual loan cost net of residual (₹ L/yr)</t>
        </is>
      </c>
      <c r="B11" s="18">
        <f>PMT(Inputs!$B$11,Inputs!$B$6,-B9,B10*B9)</f>
        <v>2.6094143431991372</v>
      </c>
      <c r="C11" s="18">
        <f>PMT(Inputs!$B$11,Inputs!$B$6,-C9,C10*C9)</f>
        <v>2.1593787835395823</v>
      </c>
      <c r="D11" s="18">
        <f>PMT(Inputs!$B$11,Inputs!$B$6,-D9,D10*D9)</f>
        <v>3.356685333234186</v>
      </c>
      <c r="E11" s="7" t="inlineStr">
        <is>
          <t>PMT(10.5%, 5, price, residual).</t>
        </is>
      </c>
    </row>
    <row r="12">
      <c r="A12" t="inlineStr">
        <is>
          <t>Insurance (₹ L/yr)</t>
        </is>
      </c>
      <c r="B12" s="18">
        <f>Inputs!$B$12*B9</f>
        <v>0.32234999999999997</v>
      </c>
      <c r="C12" s="18">
        <f>Inputs!$B$12*C9+Inputs!$B$12*Cost_Price!$B$29</f>
        <v>0.40932864</v>
      </c>
      <c r="D12" s="18">
        <f>Inputs!$B$12*D9</f>
        <v>0.414662976</v>
      </c>
      <c r="E12" s="7" t="inlineStr">
        <is>
          <t>3% of insured value; the battery-EMI car also insures its battery.</t>
        </is>
      </c>
    </row>
    <row r="13">
      <c r="A13" t="inlineStr">
        <is>
          <t>Capital &amp; insurance (₹/km)</t>
        </is>
      </c>
      <c r="B13" s="18">
        <f>ROUND((B11+B12)*100000/Inputs!$B$7,2)</f>
        <v>4.89</v>
      </c>
      <c r="C13" s="18">
        <f>ROUND((C11+C12)*100000/Inputs!$B$7,2)</f>
        <v>4.28</v>
      </c>
      <c r="D13" s="18">
        <f>ROUND((D11+D12)*100000/Inputs!$B$7,2)</f>
        <v>6.29</v>
      </c>
      <c r="E13" s="7" t="inlineStr">
        <is>
          <t>(Capital + insurance) × 1e5 ÷ annual km. Each ₹/km line is shown to the paisa.</t>
        </is>
      </c>
    </row>
    <row r="14">
      <c r="A14" s="20" t="inlineStr">
        <is>
          <t>TOTAL COST PER KM (₹/km)</t>
        </is>
      </c>
      <c r="B14" s="6">
        <f>B6+B7+B8+B13</f>
        <v>10.09</v>
      </c>
      <c r="C14" s="6">
        <f>C6+C7+C8+C13</f>
        <v>9.059999999999999</v>
      </c>
      <c r="D14" s="6">
        <f>D6+D7+D8+D13</f>
        <v>8.969999999999999</v>
      </c>
      <c r="E14" s="7" t="inlineStr">
        <is>
          <t>Energy + maintenance + battery + capital &amp; insurance.</t>
        </is>
      </c>
    </row>
    <row r="15">
      <c r="A15" t="inlineStr">
        <is>
          <t>Annual cost (₹ lakh/yr)</t>
        </is>
      </c>
      <c r="B15" s="18">
        <f>B14*Inputs!$B$7/100000</f>
        <v>6.054</v>
      </c>
      <c r="C15" s="18">
        <f>C14*Inputs!$B$7/100000</f>
        <v>5.435999999999999</v>
      </c>
      <c r="D15" s="18">
        <f>D14*Inputs!$B$7/100000</f>
        <v>5.381999999999999</v>
      </c>
      <c r="E15" s="7" t="inlineStr">
        <is>
          <t>₹/km × annual km.</t>
        </is>
      </c>
    </row>
    <row r="16">
      <c r="A16" t="inlineStr">
        <is>
          <t>5-year cost (₹ lakh)</t>
        </is>
      </c>
      <c r="B16" s="18">
        <f>B15*Inputs!$B$6</f>
        <v>30.270000000000003</v>
      </c>
      <c r="C16" s="18">
        <f>C15*Inputs!$B$6</f>
        <v>27.179999999999996</v>
      </c>
      <c r="D16" s="18">
        <f>D15*Inputs!$B$6</f>
        <v>26.909999999999993</v>
      </c>
      <c r="E16" s="7" t="inlineStr">
        <is>
          <t>Annual × 5 (undiscounted cash view).</t>
        </is>
      </c>
    </row>
    <row r="17">
      <c r="A17" t="inlineStr">
        <is>
          <t>Saving vs CNG (₹/km)</t>
        </is>
      </c>
      <c r="B17" s="18">
        <f>$B14-B14</f>
        <v>0.0</v>
      </c>
      <c r="C17" s="18">
        <f>$B14-C14</f>
        <v>1.0300000000000011</v>
      </c>
      <c r="D17" s="18">
        <f>$B14-D14</f>
        <v>1.120000000000001</v>
      </c>
      <c r="E17" s="7" t="inlineStr"/>
    </row>
    <row r="18">
      <c r="A18" t="inlineStr">
        <is>
          <t>Saving vs CNG (₹ lakh/yr)</t>
        </is>
      </c>
      <c r="B18" s="18">
        <f>B17*Inputs!$B$7/100000</f>
        <v>0.0</v>
      </c>
      <c r="C18" s="18">
        <f>C17*Inputs!$B$7/100000</f>
        <v>0.6180000000000007</v>
      </c>
      <c r="D18" s="18">
        <f>D17*Inputs!$B$7/100000</f>
        <v>0.6720000000000006</v>
      </c>
      <c r="E18" s="7" t="inlineStr"/>
    </row>
    <row r="20">
      <c r="A20" t="inlineStr">
        <is>
          <t>Fleet: annual km =</t>
        </is>
      </c>
      <c r="B20" s="30">
        <f>Inputs!$B$8</f>
        <v>80000.0</v>
      </c>
    </row>
    <row r="21">
      <c r="A21" s="3" t="inlineStr">
        <is>
          <t>FLEET @ 80k km/yr</t>
        </is>
      </c>
      <c r="B21" s="3" t="inlineStr">
        <is>
          <t>Ertiga CNG</t>
        </is>
      </c>
      <c r="C21" s="3" t="inlineStr">
        <is>
          <t>Tour-e + battery EMI</t>
        </is>
      </c>
      <c r="D21" s="3" t="inlineStr">
        <is>
          <t>Tour-e outright</t>
        </is>
      </c>
      <c r="E21" s="3" t="inlineStr">
        <is>
          <t>How it is calculated</t>
        </is>
      </c>
    </row>
    <row r="22">
      <c r="A22" t="inlineStr">
        <is>
          <t>Energy (₹/km)</t>
        </is>
      </c>
      <c r="B22" s="18">
        <f>ROUND(Inputs!$B$32/Inputs!$B$33,2)</f>
        <v>4.25</v>
      </c>
      <c r="C22" s="18">
        <f>ROUND(Inputs!$B$20/Inputs!$B$22*(Inputs!$B$26*Inputs!$B$23+(1-Inputs!$B$26)*Inputs!$B$25),2)</f>
        <v>1.87</v>
      </c>
      <c r="D22" s="18">
        <f>ROUND(Inputs!$B$20/Inputs!$B$22*(Inputs!$B$26*Inputs!$B$23+(1-Inputs!$B$26)*Inputs!$B$25),2)</f>
        <v>1.87</v>
      </c>
      <c r="E22" s="7" t="inlineStr">
        <is>
          <t>CNG: ₹/kg ÷ km/kg. EV: kWh/km ÷ charging eff. × blended tariff (80% fleet depot ₹9, 20% public DC ₹20 = ₹11.2).</t>
        </is>
      </c>
    </row>
    <row r="23">
      <c r="A23" t="inlineStr">
        <is>
          <t>Maintenance &amp; tyres (₹/km)</t>
        </is>
      </c>
      <c r="B23" s="18">
        <f>Inputs!$B$34</f>
        <v>0.95</v>
      </c>
      <c r="C23" s="18">
        <f>Inputs!$B$29</f>
        <v>0.55</v>
      </c>
      <c r="D23" s="18">
        <f>Inputs!$B$29</f>
        <v>0.55</v>
      </c>
      <c r="E23" s="7" t="inlineStr">
        <is>
          <t>Inputs.</t>
        </is>
      </c>
    </row>
    <row r="24">
      <c r="A24" t="inlineStr">
        <is>
          <t>Battery EMI (₹/km)</t>
        </is>
      </c>
      <c r="B24" s="18">
        <f>0</f>
        <v>0.0</v>
      </c>
      <c r="C24" s="18">
        <f>Inputs!$B$53</f>
        <v>1.7</v>
      </c>
      <c r="D24" s="18">
        <f>0</f>
        <v>0.0</v>
      </c>
      <c r="E24" s="7" t="inlineStr">
        <is>
          <t>Battery EMI, 2028, tiered by contracted km (a loan, so no GST on it).</t>
        </is>
      </c>
    </row>
    <row r="25">
      <c r="A25" t="inlineStr">
        <is>
          <t>Upfront price (₹ lakh)</t>
        </is>
      </c>
      <c r="B25" s="24">
        <f>Inputs!$B$31</f>
        <v>10.745</v>
      </c>
      <c r="C25" s="24">
        <f>Cost_Price!$B$28</f>
        <v>9.199008000000001</v>
      </c>
      <c r="D25" s="24">
        <f>Cost_Price!$B$27</f>
        <v>13.8220992</v>
      </c>
      <c r="E25" s="7" t="inlineStr">
        <is>
          <t>Ex-showroom; battery-EMI car excludes the battery. Road-tax/permit waivers for EVs excluded (conservative).</t>
        </is>
      </c>
    </row>
    <row r="26">
      <c r="A26" t="inlineStr">
        <is>
          <t>Residual at year 5</t>
        </is>
      </c>
      <c r="B26" s="21">
        <f>Inputs!$B$13</f>
        <v>0.15</v>
      </c>
      <c r="C26" s="21">
        <f>Inputs!$B$15</f>
        <v>0.2</v>
      </c>
      <c r="D26" s="21">
        <f>Inputs!$B$14</f>
        <v>0.15</v>
      </c>
      <c r="E26" s="7" t="inlineStr">
        <is>
          <t>Inputs.</t>
        </is>
      </c>
    </row>
    <row r="27">
      <c r="A27" t="inlineStr">
        <is>
          <t>Capital: annual loan cost net of residual (₹ L/yr)</t>
        </is>
      </c>
      <c r="B27" s="18">
        <f>PMT(Inputs!$B$11,Inputs!$B$6,-B25,B26*B25)</f>
        <v>2.6094143431991372</v>
      </c>
      <c r="C27" s="18">
        <f>PMT(Inputs!$B$11,Inputs!$B$6,-C25,C26*C25)</f>
        <v>2.1593787835395823</v>
      </c>
      <c r="D27" s="18">
        <f>PMT(Inputs!$B$11,Inputs!$B$6,-D25,D26*D25)</f>
        <v>3.356685333234186</v>
      </c>
      <c r="E27" s="7" t="inlineStr">
        <is>
          <t>PMT(10.5%, 5, price, residual).</t>
        </is>
      </c>
    </row>
    <row r="28">
      <c r="A28" t="inlineStr">
        <is>
          <t>Insurance (₹ L/yr)</t>
        </is>
      </c>
      <c r="B28" s="18">
        <f>Inputs!$B$12*B25</f>
        <v>0.32234999999999997</v>
      </c>
      <c r="C28" s="18">
        <f>Inputs!$B$12*C25+Inputs!$B$12*Cost_Price!$B$29</f>
        <v>0.40932864</v>
      </c>
      <c r="D28" s="18">
        <f>Inputs!$B$12*D25</f>
        <v>0.414662976</v>
      </c>
      <c r="E28" s="7" t="inlineStr">
        <is>
          <t>3% of insured value; the battery-EMI car also insures its battery.</t>
        </is>
      </c>
    </row>
    <row r="29">
      <c r="A29" t="inlineStr">
        <is>
          <t>Capital &amp; insurance (₹/km)</t>
        </is>
      </c>
      <c r="B29" s="18">
        <f>ROUND((B27+B28)*100000/Inputs!$B$8,2)</f>
        <v>3.66</v>
      </c>
      <c r="C29" s="18">
        <f>ROUND((C27+C28)*100000/Inputs!$B$8,2)</f>
        <v>3.21</v>
      </c>
      <c r="D29" s="18">
        <f>ROUND((D27+D28)*100000/Inputs!$B$8,2)</f>
        <v>4.71</v>
      </c>
      <c r="E29" s="7" t="inlineStr">
        <is>
          <t>(Capital + insurance) × 1e5 ÷ annual km. Each ₹/km line is shown to the paisa.</t>
        </is>
      </c>
    </row>
    <row r="30">
      <c r="A30" s="20" t="inlineStr">
        <is>
          <t>TOTAL COST PER KM (₹/km)</t>
        </is>
      </c>
      <c r="B30" s="6">
        <f>B22+B23+B24+B29</f>
        <v>8.86</v>
      </c>
      <c r="C30" s="6">
        <f>C22+C23+C24+C29</f>
        <v>7.33</v>
      </c>
      <c r="D30" s="6">
        <f>D22+D23+D24+D29</f>
        <v>7.13</v>
      </c>
      <c r="E30" s="7" t="inlineStr">
        <is>
          <t>Energy + maintenance + battery + capital &amp; insurance.</t>
        </is>
      </c>
    </row>
    <row r="31">
      <c r="A31" t="inlineStr">
        <is>
          <t>Annual cost (₹ lakh/yr)</t>
        </is>
      </c>
      <c r="B31" s="18">
        <f>B30*Inputs!$B$8/100000</f>
        <v>7.088</v>
      </c>
      <c r="C31" s="18">
        <f>C30*Inputs!$B$8/100000</f>
        <v>5.864</v>
      </c>
      <c r="D31" s="18">
        <f>D30*Inputs!$B$8/100000</f>
        <v>5.704</v>
      </c>
      <c r="E31" s="7" t="inlineStr">
        <is>
          <t>₹/km × annual km.</t>
        </is>
      </c>
    </row>
    <row r="32">
      <c r="A32" t="inlineStr">
        <is>
          <t>5-year cost (₹ lakh)</t>
        </is>
      </c>
      <c r="B32" s="18">
        <f>B31*Inputs!$B$6</f>
        <v>35.44</v>
      </c>
      <c r="C32" s="18">
        <f>C31*Inputs!$B$6</f>
        <v>29.32</v>
      </c>
      <c r="D32" s="18">
        <f>D31*Inputs!$B$6</f>
        <v>28.52</v>
      </c>
      <c r="E32" s="7" t="inlineStr">
        <is>
          <t>Annual × 5 (undiscounted cash view).</t>
        </is>
      </c>
    </row>
    <row r="33">
      <c r="A33" t="inlineStr">
        <is>
          <t>Saving vs CNG (₹/km)</t>
        </is>
      </c>
      <c r="B33" s="18">
        <f>$B30-B30</f>
        <v>0.0</v>
      </c>
      <c r="C33" s="18">
        <f>$B30-C30</f>
        <v>1.5299999999999994</v>
      </c>
      <c r="D33" s="18">
        <f>$B30-D30</f>
        <v>1.7299999999999995</v>
      </c>
      <c r="E33" s="7" t="inlineStr"/>
    </row>
    <row r="34">
      <c r="A34" t="inlineStr">
        <is>
          <t>Saving vs CNG (₹ lakh/yr)</t>
        </is>
      </c>
      <c r="B34" s="18">
        <f>B33*Inputs!$B$8/100000</f>
        <v>0.0</v>
      </c>
      <c r="C34" s="18">
        <f>C33*Inputs!$B$8/100000</f>
        <v>1.2239999999999993</v>
      </c>
      <c r="D34" s="18">
        <f>D33*Inputs!$B$8/100000</f>
        <v>1.3839999999999997</v>
      </c>
      <c r="E34" s="7" t="inlineStr"/>
    </row>
    <row r="37">
      <c r="A37" s="11" t="inlineStr">
        <is>
          <t>Reading this sheet</t>
        </is>
      </c>
    </row>
    <row r="38">
      <c r="A38" s="7" t="inlineStr">
        <is>
          <t>• Owner-drivers charge mostly at Maruti driver hubs (dealer and service workshops overnight); fleets charge at their own depots.</t>
        </is>
      </c>
    </row>
    <row r="39">
      <c r="A39" s="7" t="inlineStr">
        <is>
          <t>• The battery-EMI car is financed in two loans, as with the e VITARA: the car (left) and the battery (per km). Insurance covers both.</t>
        </is>
      </c>
    </row>
    <row r="40">
      <c r="A40" s="7" t="inlineStr">
        <is>
          <t>• Fleets: see Fleet_Economics. Charging access is the main swing factor for owner-drivers: see Driver_Economics.</t>
        </is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3A89E"/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Owner-driver economics (monthly)</t>
        </is>
      </c>
    </row>
    <row r="2">
      <c r="A2" s="2" t="inlineStr">
        <is>
          <t>Uplift = CNG ₹/km − Tour-e ₹/km × monthly km. It does not depend on the fare assumption.</t>
        </is>
      </c>
    </row>
    <row r="4">
      <c r="A4" s="3" t="inlineStr">
        <is>
          <t>Item</t>
        </is>
      </c>
      <c r="B4" s="3" t="inlineStr">
        <is>
          <t>Ertiga CNG</t>
        </is>
      </c>
      <c r="C4" s="3" t="inlineStr">
        <is>
          <t>Tour-e + battery EMI</t>
        </is>
      </c>
      <c r="D4" s="3" t="inlineStr">
        <is>
          <t>Tour-e outright</t>
        </is>
      </c>
      <c r="E4" s="3" t="inlineStr">
        <is>
          <t>Note</t>
        </is>
      </c>
    </row>
    <row r="5">
      <c r="A5" t="inlineStr">
        <is>
          <t>Monthly km</t>
        </is>
      </c>
      <c r="B5" s="27">
        <f>Inputs!$B$7/12</f>
        <v>5000.0</v>
      </c>
      <c r="C5" s="27">
        <f>Inputs!$B$7/12</f>
        <v>5000.0</v>
      </c>
      <c r="D5" s="27">
        <f>Inputs!$B$7/12</f>
        <v>5000.0</v>
      </c>
      <c r="E5" s="7" t="inlineStr">
        <is>
          <t>60,000 ÷ 12 = 5,000 km.</t>
        </is>
      </c>
    </row>
    <row r="6">
      <c r="A6" t="inlineStr">
        <is>
          <t>Average daily km</t>
        </is>
      </c>
      <c r="B6" s="29">
        <f>Inputs!$B$7/Inputs!$B$9</f>
        <v>200.0</v>
      </c>
      <c r="C6" s="29">
        <f>Inputs!$B$7/Inputs!$B$9</f>
        <v>200.0</v>
      </c>
      <c r="D6" s="29">
        <f>Inputs!$B$7/Inputs!$B$9</f>
        <v>200.0</v>
      </c>
      <c r="E6" s="7" t="inlineStr">
        <is>
          <t>vs ~307 km real range → one overnight charge per day.</t>
        </is>
      </c>
    </row>
    <row r="7">
      <c r="A7" t="inlineStr">
        <is>
          <t>Vehicle cost per km (₹/km)</t>
        </is>
      </c>
      <c r="B7" s="18">
        <f>TCO!B14</f>
        <v>10.09</v>
      </c>
      <c r="C7" s="18">
        <f>TCO!C14</f>
        <v>9.059999999999999</v>
      </c>
      <c r="D7" s="18">
        <f>TCO!D14</f>
        <v>8.969999999999999</v>
      </c>
      <c r="E7" s="7" t="inlineStr">
        <is>
          <t>From TCO sheet.</t>
        </is>
      </c>
    </row>
    <row r="8">
      <c r="A8" t="inlineStr">
        <is>
          <t>Monthly vehicle cost (₹)</t>
        </is>
      </c>
      <c r="B8" s="27">
        <f>B7*B5</f>
        <v>50450.0</v>
      </c>
      <c r="C8" s="27">
        <f>C7*C5</f>
        <v>45299.99999999999</v>
      </c>
      <c r="D8" s="27">
        <f>D7*D5</f>
        <v>44849.99999999999</v>
      </c>
      <c r="E8" s="7" t="inlineStr"/>
    </row>
    <row r="9">
      <c r="A9" t="inlineStr">
        <is>
          <t>Net fare earnings (₹/month, illustrative)</t>
        </is>
      </c>
      <c r="B9" s="27">
        <f>Inputs!$B$60*Inputs!$B$7/12</f>
        <v>67500.0</v>
      </c>
      <c r="C9" s="27">
        <f>Inputs!$B$60*Inputs!$B$7/12</f>
        <v>67500.0</v>
      </c>
      <c r="D9" s="27">
        <f>Inputs!$B$60*Inputs!$B$7/12</f>
        <v>67500.0</v>
      </c>
      <c r="E9" s="7" t="inlineStr">
        <is>
          <t>₹13.5/km net of commission × 5,000 km.</t>
        </is>
      </c>
    </row>
    <row r="10">
      <c r="A10" t="inlineStr">
        <is>
          <t>Driver take-home after vehicle costs (₹/month)</t>
        </is>
      </c>
      <c r="B10" s="27">
        <f>B9-B8</f>
        <v>17050.0</v>
      </c>
      <c r="C10" s="27">
        <f>C9-C8</f>
        <v>22200.000000000007</v>
      </c>
      <c r="D10" s="27">
        <f>D9-D8</f>
        <v>22650.000000000007</v>
      </c>
      <c r="E10" s="7" t="inlineStr">
        <is>
          <t>Illustrative – depends on fare level.</t>
        </is>
      </c>
    </row>
    <row r="11">
      <c r="A11" t="inlineStr">
        <is>
          <t>Uplift vs CNG (₹/month)</t>
        </is>
      </c>
      <c r="B11" s="8">
        <f>$B8-B8</f>
        <v>0.0</v>
      </c>
      <c r="C11" s="8">
        <f>$B8-C8</f>
        <v>5150.000000000007</v>
      </c>
      <c r="D11" s="8">
        <f>$B8-D8</f>
        <v>5600.000000000007</v>
      </c>
      <c r="E11" s="7" t="inlineStr">
        <is>
          <t>Base case: Maruti driver hub charging. Independent of fares.</t>
        </is>
      </c>
    </row>
    <row r="12">
      <c r="A12" t="inlineStr">
        <is>
          <t>Uplift vs CNG (₹/year)</t>
        </is>
      </c>
      <c r="B12" s="27">
        <f>B11*12</f>
        <v>0.0</v>
      </c>
      <c r="C12" s="27">
        <f>C11*12</f>
        <v>61800.00000000009</v>
      </c>
      <c r="D12" s="27">
        <f>D11*12</f>
        <v>67200.00000000009</v>
      </c>
      <c r="E12" s="7" t="inlineStr"/>
    </row>
    <row r="13">
      <c r="A13" t="inlineStr">
        <is>
          <t>Take-home change vs CNG</t>
        </is>
      </c>
      <c r="B13" s="21">
        <f>B10/$B10-1</f>
        <v>0.0</v>
      </c>
      <c r="C13" s="21">
        <f>C10/$B10-1</f>
        <v>0.30205278592375406</v>
      </c>
      <c r="D13" s="21">
        <f>D10/$B10-1</f>
        <v>0.3284457478005869</v>
      </c>
      <c r="E13" s="7" t="inlineStr">
        <is>
          <t>Illustrative.</t>
        </is>
      </c>
    </row>
    <row r="14">
      <c r="A14" t="inlineStr">
        <is>
          <t>Upfront outlay difference vs CNG (₹ lakh)</t>
        </is>
      </c>
      <c r="B14" s="18">
        <f>TCO!B9-TCO!$B9</f>
        <v>0.0</v>
      </c>
      <c r="C14" s="18">
        <f>TCO!C9-TCO!$B9</f>
        <v>-1.5459919999999983</v>
      </c>
      <c r="D14" s="18">
        <f>TCO!D9-TCO!$B9</f>
        <v>3.077099200000001</v>
      </c>
      <c r="E14" s="7" t="inlineStr">
        <is>
          <t>The battery-EMI car costs less upfront than the CNG car.</t>
        </is>
      </c>
    </row>
    <row r="16">
      <c r="A16" s="11" t="inlineStr">
        <is>
          <t>Uptime check</t>
        </is>
      </c>
    </row>
    <row r="17">
      <c r="A17" t="inlineStr">
        <is>
          <t>Real-world range (km)</t>
        </is>
      </c>
      <c r="B17" s="29">
        <f>BaaS!$B$29</f>
        <v>306.6666666666667</v>
      </c>
    </row>
    <row r="18">
      <c r="A18" t="inlineStr">
        <is>
          <t>Owner-driver daily km</t>
        </is>
      </c>
      <c r="B18" s="29">
        <f>B6</f>
        <v>200.0</v>
      </c>
    </row>
    <row r="19">
      <c r="A19" t="inlineStr">
        <is>
          <t>Range buffer at end of owner-driver day (km)</t>
        </is>
      </c>
      <c r="B19" s="29">
        <f>B17-B18</f>
        <v>106.66666666666669</v>
      </c>
    </row>
    <row r="20">
      <c r="A20" t="inlineStr">
        <is>
          <t>Fleet daily km</t>
        </is>
      </c>
      <c r="B20" s="29">
        <f>Inputs!$B$8/Inputs!$B$10</f>
        <v>250.0</v>
      </c>
    </row>
    <row r="21">
      <c r="A21" t="inlineStr">
        <is>
          <t>Range buffer at end of fleet day (km)</t>
        </is>
      </c>
      <c r="B21" s="29">
        <f>B17-B20</f>
        <v>56.666666666666686</v>
      </c>
    </row>
    <row r="22">
      <c r="A22" s="7" t="inlineStr">
        <is>
          <t>A 200–250 km duty day fits on one overnight charge; a ~45 min DC top-up (10–80% at 50 kW, platform spec) covers any extra shift.</t>
        </is>
      </c>
    </row>
    <row r="24">
      <c r="A24" s="11" t="inlineStr">
        <is>
          <t>Charging access decides the owner-driver case</t>
        </is>
      </c>
    </row>
    <row r="25">
      <c r="A25" s="3" t="inlineStr">
        <is>
          <t>Charging scenario (owner-driver, 60k km/yr)</t>
        </is>
      </c>
      <c r="B25" s="3" t="inlineStr">
        <is>
          <t>Blended ₹/kWh</t>
        </is>
      </c>
      <c r="C25" s="3" t="inlineStr">
        <is>
          <t>Tour-e + EMI ₹/km</t>
        </is>
      </c>
      <c r="D25" s="3" t="inlineStr">
        <is>
          <t>Tour-e outright ₹/km</t>
        </is>
      </c>
      <c r="E25" s="3" t="inlineStr">
        <is>
          <t>Gain vs CNG ₹/month (EMI / outright)</t>
        </is>
      </c>
    </row>
    <row r="26">
      <c r="A26" t="inlineStr">
        <is>
          <t>Own depot (like a fleet): 80% @ ₹9, 20% DC</t>
        </is>
      </c>
      <c r="B26" s="18">
        <f>(Inputs!$B$26*Inputs!$B$23+(1-Inputs!$B$26)*Inputs!$B$25)</f>
        <v>11.2</v>
      </c>
      <c r="C26" s="18">
        <f>ROUND(Inputs!$B$20/Inputs!$B$22*(Inputs!$B$26*Inputs!$B$23+(1-Inputs!$B$26)*Inputs!$B$25),2)+Inputs!$B$29+Inputs!$B$51+TCO!C13</f>
        <v>8.8</v>
      </c>
      <c r="D26" s="18">
        <f>ROUND(Inputs!$B$20/Inputs!$B$22*(Inputs!$B$26*Inputs!$B$23+(1-Inputs!$B$26)*Inputs!$B$25),2)+Inputs!$B$29+TCO!D13</f>
        <v>8.71</v>
      </c>
      <c r="E26" s="25" t="str">
        <f>TEXT((TCO!B14-C26)*Inputs!$B$7/12,"#,##0")&amp;" / "&amp;TEXT((TCO!B14-D26)*Inputs!$B$7/12,"#,##0")</f>
        <v>6,450 / 6,900</v>
      </c>
    </row>
    <row r="27">
      <c r="A27" t="inlineStr">
        <is>
          <t>Maruti driver hub (base): 80% @ ₹11, 20% DC</t>
        </is>
      </c>
      <c r="B27" s="6">
        <f>(Inputs!$B$27*Inputs!$B$24+(1-Inputs!$B$27)*Inputs!$B$25)</f>
        <v>12.8</v>
      </c>
      <c r="C27" s="6">
        <f>ROUND(Inputs!$B$20/Inputs!$B$22*(Inputs!$B$27*Inputs!$B$24+(1-Inputs!$B$27)*Inputs!$B$25),2)+Inputs!$B$29+Inputs!$B$51+TCO!C13</f>
        <v>9.059999999999999</v>
      </c>
      <c r="D27" s="6">
        <f>ROUND(Inputs!$B$20/Inputs!$B$22*(Inputs!$B$27*Inputs!$B$24+(1-Inputs!$B$27)*Inputs!$B$25),2)+Inputs!$B$29+TCO!D13</f>
        <v>8.969999999999999</v>
      </c>
      <c r="E27" s="31" t="str">
        <f>TEXT((TCO!B14-C27)*Inputs!$B$7/12,"#,##0")&amp;" / "&amp;TEXT((TCO!B14-D27)*Inputs!$B$7/12,"#,##0")</f>
        <v>5,150 / 5,600</v>
      </c>
    </row>
    <row r="28">
      <c r="A28" t="inlineStr">
        <is>
          <t>No hub: 30% slow public @ ₹11, 70% DC @ ₹20</t>
        </is>
      </c>
      <c r="B28" s="18">
        <f>(Inputs!$B$28*Inputs!$B$24+(1-Inputs!$B$28)*Inputs!$B$25)</f>
        <v>17.3</v>
      </c>
      <c r="C28" s="18">
        <f>ROUND(Inputs!$B$20/Inputs!$B$22*(Inputs!$B$28*Inputs!$B$24+(1-Inputs!$B$28)*Inputs!$B$25),2)+Inputs!$B$29+Inputs!$B$51+TCO!C13</f>
        <v>9.809999999999999</v>
      </c>
      <c r="D28" s="18">
        <f>ROUND(Inputs!$B$20/Inputs!$B$22*(Inputs!$B$28*Inputs!$B$24+(1-Inputs!$B$28)*Inputs!$B$25),2)+Inputs!$B$29+TCO!D13</f>
        <v>9.719999999999999</v>
      </c>
      <c r="E28" s="25" t="str">
        <f>TEXT((TCO!B14-C28)*Inputs!$B$7/12,"#,##0")&amp;" / "&amp;TEXT((TCO!B14-D28)*Inputs!$B$7/12,"#,##0")</f>
        <v>1,400 / 1,850</v>
      </c>
    </row>
    <row r="29">
      <c r="A29" s="7" t="inlineStr">
        <is>
          <t>Without hub charging the owner-driver gain mostly disappears, which is why Maruti driver hubs are part of the proposal. Fleets are unaffected: they charge at their own depots.</t>
        </is>
      </c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13A89E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Fleet operator economics (per car and per 100-car fleet, 80k km/yr)</t>
        </is>
      </c>
    </row>
    <row r="2">
      <c r="A2" s="2" t="inlineStr"/>
    </row>
    <row r="4">
      <c r="A4" s="3" t="inlineStr">
        <is>
          <t>Item</t>
        </is>
      </c>
      <c r="B4" s="3" t="inlineStr">
        <is>
          <t>Ertiga CNG</t>
        </is>
      </c>
      <c r="C4" s="3" t="inlineStr">
        <is>
          <t>Tour-e + battery EMI</t>
        </is>
      </c>
      <c r="D4" s="3" t="inlineStr">
        <is>
          <t>Tour-e outright</t>
        </is>
      </c>
      <c r="E4" s="3" t="inlineStr">
        <is>
          <t>Note</t>
        </is>
      </c>
    </row>
    <row r="5">
      <c r="A5" t="inlineStr">
        <is>
          <t>Cost per km (₹/km)</t>
        </is>
      </c>
      <c r="B5" s="18">
        <f>TCO!B30</f>
        <v>8.86</v>
      </c>
      <c r="C5" s="18">
        <f>TCO!C30</f>
        <v>7.33</v>
      </c>
      <c r="D5" s="18">
        <f>TCO!D30</f>
        <v>7.13</v>
      </c>
      <c r="E5" s="7" t="inlineStr">
        <is>
          <t>TCO sheet, fleet block.</t>
        </is>
      </c>
    </row>
    <row r="6">
      <c r="A6" t="inlineStr">
        <is>
          <t>Annual cost per car (₹ lakh)</t>
        </is>
      </c>
      <c r="B6" s="18">
        <f>TCO!B31</f>
        <v>7.088</v>
      </c>
      <c r="C6" s="18">
        <f>TCO!C31</f>
        <v>5.864</v>
      </c>
      <c r="D6" s="18">
        <f>TCO!D31</f>
        <v>5.704</v>
      </c>
      <c r="E6" s="7" t="inlineStr"/>
    </row>
    <row r="7">
      <c r="A7" t="inlineStr">
        <is>
          <t>Annual saving per car vs CNG (₹ lakh)</t>
        </is>
      </c>
      <c r="B7" s="6">
        <f>TCO!B34</f>
        <v>0.0</v>
      </c>
      <c r="C7" s="6">
        <f>TCO!C34</f>
        <v>1.2239999999999993</v>
      </c>
      <c r="D7" s="6">
        <f>TCO!D34</f>
        <v>1.3839999999999997</v>
      </c>
      <c r="E7" s="7" t="inlineStr">
        <is>
          <t>Headline: per car per year at 80,000 km.</t>
        </is>
      </c>
    </row>
    <row r="8">
      <c r="A8" t="inlineStr">
        <is>
          <t>5-year saving per car vs CNG (₹ lakh)</t>
        </is>
      </c>
      <c r="B8" s="18">
        <f>B7*Inputs!$B$6</f>
        <v>0.0</v>
      </c>
      <c r="C8" s="18">
        <f>C7*Inputs!$B$6</f>
        <v>6.1199999999999966</v>
      </c>
      <c r="D8" s="18">
        <f>D7*Inputs!$B$6</f>
        <v>6.919999999999998</v>
      </c>
      <c r="E8" s="7" t="inlineStr"/>
    </row>
    <row r="9">
      <c r="A9" t="inlineStr">
        <is>
          <t>Upfront capex per car (₹ lakh)</t>
        </is>
      </c>
      <c r="B9" s="24">
        <f>TCO!B25</f>
        <v>10.745</v>
      </c>
      <c r="C9" s="24">
        <f>TCO!C25</f>
        <v>9.199008000000001</v>
      </c>
      <c r="D9" s="24">
        <f>TCO!D25</f>
        <v>13.8220992</v>
      </c>
      <c r="E9" s="7" t="inlineStr"/>
    </row>
    <row r="10">
      <c r="A10" t="inlineStr">
        <is>
          <t>Extra capex vs CNG (₹ lakh)</t>
        </is>
      </c>
      <c r="B10" s="18">
        <f>B9-$B9</f>
        <v>0.0</v>
      </c>
      <c r="C10" s="18">
        <f>C9-$B9</f>
        <v>-1.5459919999999983</v>
      </c>
      <c r="D10" s="18">
        <f>D9-$B9</f>
        <v>3.077099200000001</v>
      </c>
      <c r="E10" s="7" t="inlineStr">
        <is>
          <t>Negative = cheaper upfront.</t>
        </is>
      </c>
    </row>
    <row r="11">
      <c r="A11" t="inlineStr">
        <is>
          <t>Running-cost saving vs CNG (energy + maint., ₹ lakh/yr)</t>
        </is>
      </c>
      <c r="B11" s="18">
        <f>((TCO!$B22+TCO!$B23)-(TCO!B22+TCO!B23+TCO!B24))*Inputs!$B$8/100000</f>
        <v>0.0</v>
      </c>
      <c r="C11" s="18">
        <f>((TCO!$B22+TCO!$B23)-(TCO!C22+TCO!C23+TCO!C24))*Inputs!$B$8/100000</f>
        <v>0.864</v>
      </c>
      <c r="D11" s="18">
        <f>((TCO!$B22+TCO!$B23)-(TCO!D22+TCO!D23+TCO!D24))*Inputs!$B$8/100000</f>
        <v>2.224</v>
      </c>
      <c r="E11" s="7" t="inlineStr">
        <is>
          <t>Outright case excludes battery fee.</t>
        </is>
      </c>
    </row>
    <row r="12">
      <c r="A12" t="inlineStr">
        <is>
          <t>Simple payback of extra capex (months)</t>
        </is>
      </c>
      <c r="B12" s="9">
        <f>IF(B10&lt;=0,0,B10/B11*12)</f>
        <v>0.0</v>
      </c>
      <c r="C12" s="9">
        <f>IF(C10&lt;=0,0,C10/C11*12)</f>
        <v>0.0</v>
      </c>
      <c r="D12" s="9">
        <f>IF(D10&lt;=0,0,D10/D11*12)</f>
        <v>16.603053237410077</v>
      </c>
      <c r="E12" s="7" t="inlineStr">
        <is>
          <t>Battery-EMI car: cheaper upfront, so immediate.</t>
        </is>
      </c>
    </row>
    <row r="13">
      <c r="A13" t="inlineStr">
        <is>
          <t>Fleet of N cars – annual saving (₹ crore)</t>
        </is>
      </c>
      <c r="B13" s="18">
        <f>B7*Inputs!$B$61/100</f>
        <v>0.0</v>
      </c>
      <c r="C13" s="18">
        <f>C7*Inputs!$B$61/100</f>
        <v>1.2239999999999993</v>
      </c>
      <c r="D13" s="18">
        <f>D7*Inputs!$B$61/100</f>
        <v>1.3839999999999997</v>
      </c>
      <c r="E13" s="7" t="inlineStr">
        <is>
          <t>N from Inputs.</t>
        </is>
      </c>
    </row>
    <row r="14">
      <c r="A14" t="inlineStr">
        <is>
          <t>Fleet of N cars – capex (₹ crore)</t>
        </is>
      </c>
      <c r="B14" s="23">
        <f>B9*Inputs!$B$61/100</f>
        <v>10.745</v>
      </c>
      <c r="C14" s="23">
        <f>C9*Inputs!$B$61/100</f>
        <v>9.199008000000001</v>
      </c>
      <c r="D14" s="23">
        <f>D9*Inputs!$B$61/100</f>
        <v>13.8220992</v>
      </c>
      <c r="E14" s="7" t="inlineStr"/>
    </row>
    <row r="16">
      <c r="A16" s="7" t="inlineStr">
        <is>
          <t>Reading the payback: battery-EMI cars cost less upfront than the Ertiga CNG (payback = 0 months); the outright Tour-e costs more upfront and repays the difference from energy and maintenance savings alone.</t>
        </is>
      </c>
    </row>
  </sheetData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13A89E"/>
    <outlinePr summaryBelow="1" summaryRight="1"/>
    <pageSetUpPr/>
  </sheetPr>
  <dimension ref="A1:F6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Sensitivity &amp; stress tests (owner-driver unless stated)</t>
        </is>
      </c>
    </row>
    <row r="2">
      <c r="A2" s="2" t="inlineStr">
        <is>
          <t>Each row recomputes the full ₹/km with one input changed; everything else from Inputs.</t>
        </is>
      </c>
    </row>
    <row r="4">
      <c r="A4" s="4" t="inlineStr">
        <is>
          <t>A · Annual kilometres</t>
        </is>
      </c>
      <c r="B4" s="5" t="n"/>
      <c r="C4" s="5" t="n"/>
      <c r="D4" s="5" t="n"/>
      <c r="E4" s="5" t="n"/>
      <c r="F4" s="5" t="n"/>
    </row>
    <row r="5">
      <c r="A5" s="3" t="inlineStr">
        <is>
          <t>km/yr</t>
        </is>
      </c>
      <c r="B5" s="3" t="inlineStr">
        <is>
          <t>CNG ₹/km</t>
        </is>
      </c>
      <c r="C5" s="3" t="inlineStr">
        <is>
          <t>Tour-e + EMI ₹/km</t>
        </is>
      </c>
      <c r="D5" s="3" t="inlineStr">
        <is>
          <t>Tour-e outright ₹/km</t>
        </is>
      </c>
      <c r="E5" s="3" t="inlineStr">
        <is>
          <t>EMI saving ₹/month</t>
        </is>
      </c>
      <c r="F5" s="3" t="inlineStr">
        <is>
          <t>Outright saving ₹/month</t>
        </is>
      </c>
    </row>
    <row r="6">
      <c r="A6" s="13" t="n">
        <v>40000</v>
      </c>
      <c r="B6" s="18">
        <f>(ROUND(Inputs!$B$32/Inputs!$B$33,2)+Inputs!$B$34+ROUND((PMT(Inputs!$B$11,Inputs!$B$6,-Inputs!$B$31,Inputs!$B$13*Inputs!$B$31)+Inputs!$B$12*Inputs!$B$31)*100000/$A6,2))</f>
        <v>12.530000000000001</v>
      </c>
      <c r="C6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$A6,2))</f>
        <v>11.2</v>
      </c>
      <c r="D6" s="18">
        <f>(ROUND(Inputs!$B$20/Inputs!$B$22*(Inputs!$B$27*Inputs!$B$24+(1-Inputs!$B$27)*Inputs!$B$25),2)+Inputs!$B$29+ROUND((PMT(Inputs!$B$11,Inputs!$B$6,-Cost_Price!$B$27,Inputs!$B$14*Cost_Price!$B$27)+Inputs!$B$12*Cost_Price!$B$27)*100000/$A6,2))</f>
        <v>12.11</v>
      </c>
      <c r="E6" s="27">
        <f>(B6-C6)*$A6/12</f>
        <v>4433.333333333339</v>
      </c>
      <c r="F6" s="27">
        <f>(B6-D6)*$A6/12</f>
        <v>1400.0000000000057</v>
      </c>
    </row>
    <row r="7">
      <c r="A7" s="13" t="n">
        <v>50000</v>
      </c>
      <c r="B7" s="18">
        <f>(ROUND(Inputs!$B$32/Inputs!$B$33,2)+Inputs!$B$34+ROUND((PMT(Inputs!$B$11,Inputs!$B$6,-Inputs!$B$31,Inputs!$B$13*Inputs!$B$31)+Inputs!$B$12*Inputs!$B$31)*100000/$A7,2))</f>
        <v>11.06</v>
      </c>
      <c r="C7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$A7,2))</f>
        <v>9.919999999999998</v>
      </c>
      <c r="D7" s="18">
        <f>(ROUND(Inputs!$B$20/Inputs!$B$22*(Inputs!$B$27*Inputs!$B$24+(1-Inputs!$B$27)*Inputs!$B$25),2)+Inputs!$B$29+ROUND((PMT(Inputs!$B$11,Inputs!$B$6,-Cost_Price!$B$27,Inputs!$B$14*Cost_Price!$B$27)+Inputs!$B$12*Cost_Price!$B$27)*100000/$A7,2))</f>
        <v>10.219999999999999</v>
      </c>
      <c r="E7" s="27">
        <f>(B7-C7)*$A7/12</f>
        <v>4750.00000000001</v>
      </c>
      <c r="F7" s="27">
        <f>(B7-D7)*$A7/12</f>
        <v>3500.000000000007</v>
      </c>
    </row>
    <row r="8">
      <c r="A8" s="13" t="n">
        <v>60000</v>
      </c>
      <c r="B8" s="18">
        <f>(ROUND(Inputs!$B$32/Inputs!$B$33,2)+Inputs!$B$34+ROUND((PMT(Inputs!$B$11,Inputs!$B$6,-Inputs!$B$31,Inputs!$B$13*Inputs!$B$31)+Inputs!$B$12*Inputs!$B$31)*100000/$A8,2))</f>
        <v>10.09</v>
      </c>
      <c r="C8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$A8,2))</f>
        <v>9.059999999999999</v>
      </c>
      <c r="D8" s="18">
        <f>(ROUND(Inputs!$B$20/Inputs!$B$22*(Inputs!$B$27*Inputs!$B$24+(1-Inputs!$B$27)*Inputs!$B$25),2)+Inputs!$B$29+ROUND((PMT(Inputs!$B$11,Inputs!$B$6,-Cost_Price!$B$27,Inputs!$B$14*Cost_Price!$B$27)+Inputs!$B$12*Cost_Price!$B$27)*100000/$A8,2))</f>
        <v>8.969999999999999</v>
      </c>
      <c r="E8" s="27">
        <f>(B8-C8)*$A8/12</f>
        <v>5150.0000000000055</v>
      </c>
      <c r="F8" s="27">
        <f>(B8-D8)*$A8/12</f>
        <v>5600.000000000005</v>
      </c>
    </row>
    <row r="9">
      <c r="A9" s="13" t="n">
        <v>70000</v>
      </c>
      <c r="B9" s="18">
        <f>(ROUND(Inputs!$B$32/Inputs!$B$33,2)+Inputs!$B$34+ROUND((PMT(Inputs!$B$11,Inputs!$B$6,-Inputs!$B$31,Inputs!$B$13*Inputs!$B$31)+Inputs!$B$12*Inputs!$B$31)*100000/$A9,2))</f>
        <v>9.39</v>
      </c>
      <c r="C9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$A9,2))</f>
        <v>8.45</v>
      </c>
      <c r="D9" s="18">
        <f>(ROUND(Inputs!$B$20/Inputs!$B$22*(Inputs!$B$27*Inputs!$B$24+(1-Inputs!$B$27)*Inputs!$B$25),2)+Inputs!$B$29+ROUND((PMT(Inputs!$B$11,Inputs!$B$6,-Cost_Price!$B$27,Inputs!$B$14*Cost_Price!$B$27)+Inputs!$B$12*Cost_Price!$B$27)*100000/$A9,2))</f>
        <v>8.07</v>
      </c>
      <c r="E9" s="27">
        <f>(B9-C9)*$A9/12</f>
        <v>5483.33333333334</v>
      </c>
      <c r="F9" s="27">
        <f>(B9-D9)*$A9/12</f>
        <v>7700.000000000001</v>
      </c>
    </row>
    <row r="10">
      <c r="A10" s="13" t="n">
        <v>80000</v>
      </c>
      <c r="B10" s="18">
        <f>(ROUND(Inputs!$B$32/Inputs!$B$33,2)+Inputs!$B$34+ROUND((PMT(Inputs!$B$11,Inputs!$B$6,-Inputs!$B$31,Inputs!$B$13*Inputs!$B$31)+Inputs!$B$12*Inputs!$B$31)*100000/$A10,2))</f>
        <v>8.86</v>
      </c>
      <c r="C10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$A10,2))</f>
        <v>7.989999999999999</v>
      </c>
      <c r="D10" s="18">
        <f>(ROUND(Inputs!$B$20/Inputs!$B$22*(Inputs!$B$27*Inputs!$B$24+(1-Inputs!$B$27)*Inputs!$B$25),2)+Inputs!$B$29+ROUND((PMT(Inputs!$B$11,Inputs!$B$6,-Cost_Price!$B$27,Inputs!$B$14*Cost_Price!$B$27)+Inputs!$B$12*Cost_Price!$B$27)*100000/$A10,2))</f>
        <v>7.39</v>
      </c>
      <c r="E10" s="27">
        <f>(B10-C10)*$A10/12</f>
        <v>5800.000000000001</v>
      </c>
      <c r="F10" s="27">
        <f>(B10-D10)*$A10/12</f>
        <v>9799.999999999998</v>
      </c>
    </row>
    <row r="11">
      <c r="A11" s="13" t="n">
        <v>100000</v>
      </c>
      <c r="B11" s="18">
        <f>(ROUND(Inputs!$B$32/Inputs!$B$33,2)+Inputs!$B$34+ROUND((PMT(Inputs!$B$11,Inputs!$B$6,-Inputs!$B$31,Inputs!$B$13*Inputs!$B$31)+Inputs!$B$12*Inputs!$B$31)*100000/$A11,2))</f>
        <v>8.13</v>
      </c>
      <c r="C11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$A11,2))</f>
        <v>7.35</v>
      </c>
      <c r="D11" s="18">
        <f>(ROUND(Inputs!$B$20/Inputs!$B$22*(Inputs!$B$27*Inputs!$B$24+(1-Inputs!$B$27)*Inputs!$B$25),2)+Inputs!$B$29+ROUND((PMT(Inputs!$B$11,Inputs!$B$6,-Cost_Price!$B$27,Inputs!$B$14*Cost_Price!$B$27)+Inputs!$B$12*Cost_Price!$B$27)*100000/$A11,2))</f>
        <v>6.449999999999999</v>
      </c>
      <c r="E11" s="27">
        <f>(B11-C11)*$A11/12</f>
        <v>6500.00000000001</v>
      </c>
      <c r="F11" s="27">
        <f>(B11-D11)*$A11/12</f>
        <v>14000.000000000013</v>
      </c>
    </row>
    <row r="12">
      <c r="A12" s="7" t="inlineStr">
        <is>
          <t>Owner-driver charging mix (Maruti driver hub). The gap widens with km.</t>
        </is>
      </c>
    </row>
    <row r="14">
      <c r="A14" s="4" t="inlineStr">
        <is>
          <t>B · CNG price (₹/kg)</t>
        </is>
      </c>
      <c r="B14" s="5" t="n"/>
      <c r="C14" s="5" t="n"/>
      <c r="D14" s="5" t="n"/>
      <c r="E14" s="5" t="n"/>
      <c r="F14" s="5" t="n"/>
    </row>
    <row r="15">
      <c r="A15" s="3" t="inlineStr">
        <is>
          <t>₹/kg</t>
        </is>
      </c>
      <c r="B15" s="3" t="inlineStr">
        <is>
          <t>CNG ₹/km</t>
        </is>
      </c>
      <c r="C15" s="3" t="inlineStr">
        <is>
          <t>Tour-e + EMI ₹/km</t>
        </is>
      </c>
      <c r="D15" s="3" t="inlineStr">
        <is>
          <t>Uplift ₹/month</t>
        </is>
      </c>
    </row>
    <row r="16">
      <c r="A16" s="32" t="n">
        <v>65</v>
      </c>
      <c r="B16" s="18">
        <f>(ROUND($A16/Inputs!$B$33,2)+Inputs!$B$34+ROUND((PMT(Inputs!$B$11,Inputs!$B$6,-Inputs!$B$31,Inputs!$B$13*Inputs!$B$31)+Inputs!$B$12*Inputs!$B$31)*100000/Inputs!$B$7,2))</f>
        <v>9.09</v>
      </c>
      <c r="C16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9.059999999999999</v>
      </c>
      <c r="D16" s="27">
        <f>(B16-C16)*Inputs!$B$7/12</f>
        <v>150.00000000000568</v>
      </c>
    </row>
    <row r="17">
      <c r="A17" s="32" t="n">
        <v>75</v>
      </c>
      <c r="B17" s="18">
        <f>(ROUND($A17/Inputs!$B$33,2)+Inputs!$B$34+ROUND((PMT(Inputs!$B$11,Inputs!$B$6,-Inputs!$B$31,Inputs!$B$13*Inputs!$B$31)+Inputs!$B$12*Inputs!$B$31)*100000/Inputs!$B$7,2))</f>
        <v>9.59</v>
      </c>
      <c r="C17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9.059999999999999</v>
      </c>
      <c r="D17" s="27">
        <f>(B17-C17)*Inputs!$B$7/12</f>
        <v>2650.000000000006</v>
      </c>
    </row>
    <row r="18">
      <c r="A18" s="32" t="n">
        <v>85</v>
      </c>
      <c r="B18" s="18">
        <f>(ROUND($A18/Inputs!$B$33,2)+Inputs!$B$34+ROUND((PMT(Inputs!$B$11,Inputs!$B$6,-Inputs!$B$31,Inputs!$B$13*Inputs!$B$31)+Inputs!$B$12*Inputs!$B$31)*100000/Inputs!$B$7,2))</f>
        <v>10.09</v>
      </c>
      <c r="C18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9.059999999999999</v>
      </c>
      <c r="D18" s="27">
        <f>(B18-C18)*Inputs!$B$7/12</f>
        <v>5150.0000000000055</v>
      </c>
    </row>
    <row r="19">
      <c r="A19" s="32" t="n">
        <v>95</v>
      </c>
      <c r="B19" s="18">
        <f>(ROUND($A19/Inputs!$B$33,2)+Inputs!$B$34+ROUND((PMT(Inputs!$B$11,Inputs!$B$6,-Inputs!$B$31,Inputs!$B$13*Inputs!$B$31)+Inputs!$B$12*Inputs!$B$31)*100000/Inputs!$B$7,2))</f>
        <v>10.59</v>
      </c>
      <c r="C19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9.059999999999999</v>
      </c>
      <c r="D19" s="27">
        <f>(B19-C19)*Inputs!$B$7/12</f>
        <v>7650.000000000006</v>
      </c>
    </row>
    <row r="20">
      <c r="A20" s="32" t="n">
        <v>105</v>
      </c>
      <c r="B20" s="18">
        <f>(ROUND($A20/Inputs!$B$33,2)+Inputs!$B$34+ROUND((PMT(Inputs!$B$11,Inputs!$B$6,-Inputs!$B$31,Inputs!$B$13*Inputs!$B$31)+Inputs!$B$12*Inputs!$B$31)*100000/Inputs!$B$7,2))</f>
        <v>11.09</v>
      </c>
      <c r="C20" s="18">
        <f>(ROUND(Inputs!$B$20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9.059999999999999</v>
      </c>
      <c r="D20" s="27">
        <f>(B20-C20)*Inputs!$B$7/12</f>
        <v>10150.000000000005</v>
      </c>
    </row>
    <row r="21">
      <c r="A21" s="7" t="inlineStr">
        <is>
          <t>Break-even CNG price is in G.</t>
        </is>
      </c>
    </row>
    <row r="23">
      <c r="A23" s="4" t="inlineStr">
        <is>
          <t>C · Share of energy from public DC (rest at Maruti driver hub)</t>
        </is>
      </c>
      <c r="B23" s="5" t="n"/>
      <c r="C23" s="5" t="n"/>
      <c r="D23" s="5" t="n"/>
      <c r="E23" s="5" t="n"/>
      <c r="F23" s="5" t="n"/>
    </row>
    <row r="24">
      <c r="A24" s="3" t="inlineStr">
        <is>
          <t>DC share</t>
        </is>
      </c>
      <c r="B24" s="3" t="inlineStr">
        <is>
          <t>Blended ₹/kWh</t>
        </is>
      </c>
      <c r="C24" s="3" t="inlineStr">
        <is>
          <t>Tour-e + EMI ₹/km</t>
        </is>
      </c>
      <c r="D24" s="3" t="inlineStr">
        <is>
          <t>CNG ₹/km</t>
        </is>
      </c>
      <c r="E24" s="3" t="inlineStr">
        <is>
          <t>Uplift ₹/month</t>
        </is>
      </c>
    </row>
    <row r="25">
      <c r="A25" s="33" t="n">
        <v>0</v>
      </c>
      <c r="B25" s="18">
        <f>((1-$A25)*Inputs!$B$24+$A25*Inputs!$B$25)</f>
        <v>11.0</v>
      </c>
      <c r="C25" s="18">
        <f>((Inputs!$B$20/Inputs!$B$22*((1-$A25)*Inputs!$B$24+(1-(1-$A25))*Inputs!$B$25))+Inputs!$B$29+Inputs!$B$51+((PMT(Inputs!$B$11,Inputs!$B$6,-Cost_Price!$B$28,Inputs!$B$15*Cost_Price!$B$28)+Inputs!$B$12*Cost_Price!$B$28+Inputs!$B$12*Cost_Price!$B$29)*100000/Inputs!$B$7))</f>
        <v>8.76451237256597</v>
      </c>
      <c r="D25" s="18">
        <f>(ROUND(Inputs!$B$32/Inputs!$B$33,2)+Inputs!$B$34+ROUND((PMT(Inputs!$B$11,Inputs!$B$6,-Inputs!$B$31,Inputs!$B$13*Inputs!$B$31)+Inputs!$B$12*Inputs!$B$31)*100000/Inputs!$B$7,2))</f>
        <v>10.09</v>
      </c>
      <c r="E25" s="27">
        <f>(D25-C25)*Inputs!$B$7/12</f>
        <v>6627.438137170146</v>
      </c>
    </row>
    <row r="26">
      <c r="A26" s="33" t="n">
        <v>0.2</v>
      </c>
      <c r="B26" s="18">
        <f>((1-$A26)*Inputs!$B$24+$A26*Inputs!$B$25)</f>
        <v>12.8</v>
      </c>
      <c r="C26" s="18">
        <f>((Inputs!$B$20/Inputs!$B$22*((1-$A26)*Inputs!$B$24+(1-(1-$A26))*Inputs!$B$25))+Inputs!$B$29+Inputs!$B$51+((PMT(Inputs!$B$11,Inputs!$B$6,-Cost_Price!$B$28,Inputs!$B$15*Cost_Price!$B$28)+Inputs!$B$12*Cost_Price!$B$28+Inputs!$B$12*Cost_Price!$B$29)*100000/Inputs!$B$7))</f>
        <v>9.064512372565972</v>
      </c>
      <c r="D26" s="18">
        <f>(ROUND(Inputs!$B$32/Inputs!$B$33,2)+Inputs!$B$34+ROUND((PMT(Inputs!$B$11,Inputs!$B$6,-Inputs!$B$31,Inputs!$B$13*Inputs!$B$31)+Inputs!$B$12*Inputs!$B$31)*100000/Inputs!$B$7,2))</f>
        <v>10.09</v>
      </c>
      <c r="E26" s="27">
        <f>(D26-C26)*Inputs!$B$7/12</f>
        <v>5127.438137170141</v>
      </c>
    </row>
    <row r="27">
      <c r="A27" s="33" t="n">
        <v>0.5</v>
      </c>
      <c r="B27" s="18">
        <f>((1-$A27)*Inputs!$B$24+$A27*Inputs!$B$25)</f>
        <v>15.5</v>
      </c>
      <c r="C27" s="18">
        <f>((Inputs!$B$20/Inputs!$B$22*((1-$A27)*Inputs!$B$24+(1-(1-$A27))*Inputs!$B$25))+Inputs!$B$29+Inputs!$B$51+((PMT(Inputs!$B$11,Inputs!$B$6,-Cost_Price!$B$28,Inputs!$B$15*Cost_Price!$B$28)+Inputs!$B$12*Cost_Price!$B$28+Inputs!$B$12*Cost_Price!$B$29)*100000/Inputs!$B$7))</f>
        <v>9.51451237256597</v>
      </c>
      <c r="D27" s="18">
        <f>(ROUND(Inputs!$B$32/Inputs!$B$33,2)+Inputs!$B$34+ROUND((PMT(Inputs!$B$11,Inputs!$B$6,-Inputs!$B$31,Inputs!$B$13*Inputs!$B$31)+Inputs!$B$12*Inputs!$B$31)*100000/Inputs!$B$7,2))</f>
        <v>10.09</v>
      </c>
      <c r="E27" s="27">
        <f>(D27-C27)*Inputs!$B$7/12</f>
        <v>2877.438137170145</v>
      </c>
    </row>
    <row r="28">
      <c r="A28" s="33" t="n">
        <v>0.7</v>
      </c>
      <c r="B28" s="18">
        <f>((1-$A28)*Inputs!$B$24+$A28*Inputs!$B$25)</f>
        <v>17.3</v>
      </c>
      <c r="C28" s="18">
        <f>((Inputs!$B$20/Inputs!$B$22*((1-$A28)*Inputs!$B$24+(1-(1-$A28))*Inputs!$B$25))+Inputs!$B$29+Inputs!$B$51+((PMT(Inputs!$B$11,Inputs!$B$6,-Cost_Price!$B$28,Inputs!$B$15*Cost_Price!$B$28)+Inputs!$B$12*Cost_Price!$B$28+Inputs!$B$12*Cost_Price!$B$29)*100000/Inputs!$B$7))</f>
        <v>9.814512372565972</v>
      </c>
      <c r="D28" s="18">
        <f>(ROUND(Inputs!$B$32/Inputs!$B$33,2)+Inputs!$B$34+ROUND((PMT(Inputs!$B$11,Inputs!$B$6,-Inputs!$B$31,Inputs!$B$13*Inputs!$B$31)+Inputs!$B$12*Inputs!$B$31)*100000/Inputs!$B$7,2))</f>
        <v>10.09</v>
      </c>
      <c r="E28" s="27">
        <f>(D28-C28)*Inputs!$B$7/12</f>
        <v>1377.4381371701418</v>
      </c>
    </row>
    <row r="29">
      <c r="A29" s="33" t="n">
        <v>1</v>
      </c>
      <c r="B29" s="18">
        <f>((1-$A29)*Inputs!$B$24+$A29*Inputs!$B$25)</f>
        <v>20.0</v>
      </c>
      <c r="C29" s="18">
        <f>((Inputs!$B$20/Inputs!$B$22*((1-$A29)*Inputs!$B$24+(1-(1-$A29))*Inputs!$B$25))+Inputs!$B$29+Inputs!$B$51+((PMT(Inputs!$B$11,Inputs!$B$6,-Cost_Price!$B$28,Inputs!$B$15*Cost_Price!$B$28)+Inputs!$B$12*Cost_Price!$B$28+Inputs!$B$12*Cost_Price!$B$29)*100000/Inputs!$B$7))</f>
        <v>10.26451237256597</v>
      </c>
      <c r="D29" s="18">
        <f>(ROUND(Inputs!$B$32/Inputs!$B$33,2)+Inputs!$B$34+ROUND((PMT(Inputs!$B$11,Inputs!$B$6,-Inputs!$B$31,Inputs!$B$13*Inputs!$B$31)+Inputs!$B$12*Inputs!$B$31)*100000/Inputs!$B$7,2))</f>
        <v>10.09</v>
      </c>
      <c r="E29" s="27">
        <f>(D29-C29)*Inputs!$B$7/12</f>
        <v>-872.5618628298548</v>
      </c>
    </row>
    <row r="30">
      <c r="A30" s="7" t="inlineStr">
        <is>
          <t>Public DC tariff at which Tour-e loses its edge is in G.</t>
        </is>
      </c>
    </row>
    <row r="32">
      <c r="A32" s="4" t="inlineStr">
        <is>
          <t>D · Battery EMI (₹/km)</t>
        </is>
      </c>
      <c r="B32" s="5" t="n"/>
      <c r="C32" s="5" t="n"/>
      <c r="D32" s="5" t="n"/>
      <c r="E32" s="5" t="n"/>
      <c r="F32" s="5" t="n"/>
    </row>
    <row r="33">
      <c r="A33" s="3" t="inlineStr">
        <is>
          <t>₹/km</t>
        </is>
      </c>
      <c r="B33" s="3" t="inlineStr">
        <is>
          <t>Tour-e + EMI ₹/km</t>
        </is>
      </c>
      <c r="C33" s="3" t="inlineStr">
        <is>
          <t>CNG ₹/km</t>
        </is>
      </c>
      <c r="D33" s="3" t="inlineStr">
        <is>
          <t>Uplift ₹/month</t>
        </is>
      </c>
    </row>
    <row r="34">
      <c r="A34" s="17" t="n">
        <v>1.6</v>
      </c>
      <c r="B34" s="18">
        <f>(ROUND(Inputs!$B$20/Inputs!$B$22*(Inputs!$B$27*Inputs!$B$24+(1-Inputs!$B$27)*Inputs!$B$25),2)+Inputs!$B$29+$A34+ROUND((PMT(Inputs!$B$11,Inputs!$B$6,-Cost_Price!$B$28,Inputs!$B$15*Cost_Price!$B$28)+Inputs!$B$12*Cost_Price!$B$28+Inputs!$B$12*Cost_Price!$B$29)*100000/Inputs!$B$7,2))</f>
        <v>8.559999999999999</v>
      </c>
      <c r="C34" s="18">
        <f>(ROUND(Inputs!$B$32/Inputs!$B$33,2)+Inputs!$B$34+ROUND((PMT(Inputs!$B$11,Inputs!$B$6,-Inputs!$B$31,Inputs!$B$13*Inputs!$B$31)+Inputs!$B$12*Inputs!$B$31)*100000/Inputs!$B$7,2))</f>
        <v>10.09</v>
      </c>
      <c r="D34" s="27">
        <f>(C34-B34)*Inputs!$B$7/12</f>
        <v>7650.000000000006</v>
      </c>
    </row>
    <row r="35">
      <c r="A35" s="17" t="n">
        <v>1.8</v>
      </c>
      <c r="B35" s="18">
        <f>(ROUND(Inputs!$B$20/Inputs!$B$22*(Inputs!$B$27*Inputs!$B$24+(1-Inputs!$B$27)*Inputs!$B$25),2)+Inputs!$B$29+$A35+ROUND((PMT(Inputs!$B$11,Inputs!$B$6,-Cost_Price!$B$28,Inputs!$B$15*Cost_Price!$B$28)+Inputs!$B$12*Cost_Price!$B$28+Inputs!$B$12*Cost_Price!$B$29)*100000/Inputs!$B$7,2))</f>
        <v>8.76</v>
      </c>
      <c r="C35" s="18">
        <f>(ROUND(Inputs!$B$32/Inputs!$B$33,2)+Inputs!$B$34+ROUND((PMT(Inputs!$B$11,Inputs!$B$6,-Inputs!$B$31,Inputs!$B$13*Inputs!$B$31)+Inputs!$B$12*Inputs!$B$31)*100000/Inputs!$B$7,2))</f>
        <v>10.09</v>
      </c>
      <c r="D35" s="27">
        <f>(C35-B35)*Inputs!$B$7/12</f>
        <v>6650.0</v>
      </c>
    </row>
    <row r="36">
      <c r="A36" s="17" t="n">
        <v>2</v>
      </c>
      <c r="B36" s="18">
        <f>(ROUND(Inputs!$B$20/Inputs!$B$22*(Inputs!$B$27*Inputs!$B$24+(1-Inputs!$B$27)*Inputs!$B$25),2)+Inputs!$B$29+$A36+ROUND((PMT(Inputs!$B$11,Inputs!$B$6,-Cost_Price!$B$28,Inputs!$B$15*Cost_Price!$B$28)+Inputs!$B$12*Cost_Price!$B$28+Inputs!$B$12*Cost_Price!$B$29)*100000/Inputs!$B$7,2))</f>
        <v>8.96</v>
      </c>
      <c r="C36" s="18">
        <f>(ROUND(Inputs!$B$32/Inputs!$B$33,2)+Inputs!$B$34+ROUND((PMT(Inputs!$B$11,Inputs!$B$6,-Inputs!$B$31,Inputs!$B$13*Inputs!$B$31)+Inputs!$B$12*Inputs!$B$31)*100000/Inputs!$B$7,2))</f>
        <v>10.09</v>
      </c>
      <c r="D36" s="27">
        <f>(C36-B36)*Inputs!$B$7/12</f>
        <v>5649.999999999995</v>
      </c>
    </row>
    <row r="37">
      <c r="A37" s="17" t="n">
        <v>2.5</v>
      </c>
      <c r="B37" s="18">
        <f>(ROUND(Inputs!$B$20/Inputs!$B$22*(Inputs!$B$27*Inputs!$B$24+(1-Inputs!$B$27)*Inputs!$B$25),2)+Inputs!$B$29+$A37+ROUND((PMT(Inputs!$B$11,Inputs!$B$6,-Cost_Price!$B$28,Inputs!$B$15*Cost_Price!$B$28)+Inputs!$B$12*Cost_Price!$B$28+Inputs!$B$12*Cost_Price!$B$29)*100000/Inputs!$B$7,2))</f>
        <v>9.46</v>
      </c>
      <c r="C37" s="18">
        <f>(ROUND(Inputs!$B$32/Inputs!$B$33,2)+Inputs!$B$34+ROUND((PMT(Inputs!$B$11,Inputs!$B$6,-Inputs!$B$31,Inputs!$B$13*Inputs!$B$31)+Inputs!$B$12*Inputs!$B$31)*100000/Inputs!$B$7,2))</f>
        <v>10.09</v>
      </c>
      <c r="D37" s="27">
        <f>(C37-B37)*Inputs!$B$7/12</f>
        <v>3149.999999999995</v>
      </c>
    </row>
    <row r="38">
      <c r="A38" s="17" t="n">
        <v>3</v>
      </c>
      <c r="B38" s="18">
        <f>(ROUND(Inputs!$B$20/Inputs!$B$22*(Inputs!$B$27*Inputs!$B$24+(1-Inputs!$B$27)*Inputs!$B$25),2)+Inputs!$B$29+$A38+ROUND((PMT(Inputs!$B$11,Inputs!$B$6,-Cost_Price!$B$28,Inputs!$B$15*Cost_Price!$B$28)+Inputs!$B$12*Cost_Price!$B$28+Inputs!$B$12*Cost_Price!$B$29)*100000/Inputs!$B$7,2))</f>
        <v>9.96</v>
      </c>
      <c r="C38" s="18">
        <f>(ROUND(Inputs!$B$32/Inputs!$B$33,2)+Inputs!$B$34+ROUND((PMT(Inputs!$B$11,Inputs!$B$6,-Inputs!$B$31,Inputs!$B$13*Inputs!$B$31)+Inputs!$B$12*Inputs!$B$31)*100000/Inputs!$B$7,2))</f>
        <v>10.09</v>
      </c>
      <c r="D38" s="27">
        <f>(C38-B38)*Inputs!$B$7/12</f>
        <v>649.999999999995</v>
      </c>
    </row>
    <row r="39">
      <c r="A39" s="17" t="n">
        <v>3.99</v>
      </c>
      <c r="B39" s="18">
        <f>(ROUND(Inputs!$B$20/Inputs!$B$22*(Inputs!$B$27*Inputs!$B$24+(1-Inputs!$B$27)*Inputs!$B$25),2)+Inputs!$B$29+$A39+ROUND((PMT(Inputs!$B$11,Inputs!$B$6,-Cost_Price!$B$28,Inputs!$B$15*Cost_Price!$B$28)+Inputs!$B$12*Cost_Price!$B$28+Inputs!$B$12*Cost_Price!$B$29)*100000/Inputs!$B$7,2))</f>
        <v>10.95</v>
      </c>
      <c r="C39" s="18">
        <f>(ROUND(Inputs!$B$32/Inputs!$B$33,2)+Inputs!$B$34+ROUND((PMT(Inputs!$B$11,Inputs!$B$6,-Inputs!$B$31,Inputs!$B$13*Inputs!$B$31)+Inputs!$B$12*Inputs!$B$31)*100000/Inputs!$B$7,2))</f>
        <v>10.09</v>
      </c>
      <c r="D39" s="27">
        <f>(C39-B39)*Inputs!$B$7/12</f>
        <v>-4299.999999999997</v>
      </c>
    </row>
    <row r="40">
      <c r="A40" s="7" t="inlineStr">
        <is>
          <t>Break-even battery EMI is in G.</t>
        </is>
      </c>
    </row>
    <row r="42">
      <c r="A42" s="4" t="inlineStr">
        <is>
          <t>E · Real-world energy use (kWh/km)</t>
        </is>
      </c>
      <c r="B42" s="5" t="n"/>
      <c r="C42" s="5" t="n"/>
      <c r="D42" s="5" t="n"/>
      <c r="E42" s="5" t="n"/>
      <c r="F42" s="5" t="n"/>
    </row>
    <row r="43">
      <c r="A43" s="3" t="inlineStr">
        <is>
          <t>kWh/km</t>
        </is>
      </c>
      <c r="B43" s="3" t="inlineStr">
        <is>
          <t>Range on 46 kWh usable (km)</t>
        </is>
      </c>
      <c r="C43" s="3" t="inlineStr">
        <is>
          <t>Tour-e + EMI ₹/km</t>
        </is>
      </c>
      <c r="D43" s="3" t="inlineStr">
        <is>
          <t>Uplift ₹/month</t>
        </is>
      </c>
    </row>
    <row r="44">
      <c r="A44" s="16" t="n">
        <v>0.13</v>
      </c>
      <c r="B44" s="29">
        <f>Inputs!$B$18/$A44</f>
        <v>353.8461538461538</v>
      </c>
      <c r="C44" s="18">
        <f>(ROUND($A44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8.780000000000001</v>
      </c>
      <c r="D44" s="27">
        <f>((ROUND(Inputs!$B$32/Inputs!$B$33,2)+Inputs!$B$34+ROUND((PMT(Inputs!$B$11,Inputs!$B$6,-Inputs!$B$31,Inputs!$B$13*Inputs!$B$31)+Inputs!$B$12*Inputs!$B$31)*100000/Inputs!$B$7,2))-C44)*Inputs!$B$7/12</f>
        <v>6549.999999999994</v>
      </c>
    </row>
    <row r="45">
      <c r="A45" s="16" t="n">
        <v>0.15</v>
      </c>
      <c r="B45" s="29">
        <f>Inputs!$B$18/$A45</f>
        <v>306.6666666666667</v>
      </c>
      <c r="C45" s="18">
        <f>(ROUND($A45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9.059999999999999</v>
      </c>
      <c r="D45" s="27">
        <f>((ROUND(Inputs!$B$32/Inputs!$B$33,2)+Inputs!$B$34+ROUND((PMT(Inputs!$B$11,Inputs!$B$6,-Inputs!$B$31,Inputs!$B$13*Inputs!$B$31)+Inputs!$B$12*Inputs!$B$31)*100000/Inputs!$B$7,2))-C45)*Inputs!$B$7/12</f>
        <v>5150.0000000000055</v>
      </c>
    </row>
    <row r="46">
      <c r="A46" s="16" t="n">
        <v>0.17</v>
      </c>
      <c r="B46" s="29">
        <f>Inputs!$B$18/$A46</f>
        <v>270.5882352941176</v>
      </c>
      <c r="C46" s="18">
        <f>(ROUND($A46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9.350000000000001</v>
      </c>
      <c r="D46" s="27">
        <f>((ROUND(Inputs!$B$32/Inputs!$B$33,2)+Inputs!$B$34+ROUND((PMT(Inputs!$B$11,Inputs!$B$6,-Inputs!$B$31,Inputs!$B$13*Inputs!$B$31)+Inputs!$B$12*Inputs!$B$31)*100000/Inputs!$B$7,2))-C46)*Inputs!$B$7/12</f>
        <v>3699.9999999999923</v>
      </c>
    </row>
    <row r="47">
      <c r="A47" s="16" t="n">
        <v>0.19</v>
      </c>
      <c r="B47" s="29">
        <f>Inputs!$B$18/$A47</f>
        <v>242.10526315789474</v>
      </c>
      <c r="C47" s="18">
        <f>(ROUND($A47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9.629999999999999</v>
      </c>
      <c r="D47" s="27">
        <f>((ROUND(Inputs!$B$32/Inputs!$B$33,2)+Inputs!$B$34+ROUND((PMT(Inputs!$B$11,Inputs!$B$6,-Inputs!$B$31,Inputs!$B$13*Inputs!$B$31)+Inputs!$B$12*Inputs!$B$31)*100000/Inputs!$B$7,2))-C47)*Inputs!$B$7/12</f>
        <v>2300.000000000004</v>
      </c>
    </row>
    <row r="48">
      <c r="A48" s="16" t="n">
        <v>0.21</v>
      </c>
      <c r="B48" s="29">
        <f>Inputs!$B$18/$A48</f>
        <v>219.04761904761907</v>
      </c>
      <c r="C48" s="18">
        <f>(ROUND($A48/Inputs!$B$22*(Inputs!$B$27*Inputs!$B$24+(1-Inputs!$B$27)*Inputs!$B$25),2)+Inputs!$B$29+Inputs!$B$51+ROUND((PMT(Inputs!$B$11,Inputs!$B$6,-Cost_Price!$B$28,Inputs!$B$15*Cost_Price!$B$28)+Inputs!$B$12*Cost_Price!$B$28+Inputs!$B$12*Cost_Price!$B$29)*100000/Inputs!$B$7,2))</f>
        <v>9.920000000000002</v>
      </c>
      <c r="D48" s="27">
        <f>((ROUND(Inputs!$B$32/Inputs!$B$33,2)+Inputs!$B$34+ROUND((PMT(Inputs!$B$11,Inputs!$B$6,-Inputs!$B$31,Inputs!$B$13*Inputs!$B$31)+Inputs!$B$12*Inputs!$B$31)*100000/Inputs!$B$7,2))-C48)*Inputs!$B$7/12</f>
        <v>849.9999999999908</v>
      </c>
    </row>
    <row r="49">
      <c r="A49" s="7" t="inlineStr">
        <is>
          <t>Summer AC load and highway use push consumption up; range stays above a 200 km day up to ~0.21 kWh/km.</t>
        </is>
      </c>
    </row>
    <row r="51">
      <c r="A51" s="4" t="inlineStr">
        <is>
          <t>F · Residual value – Tour-e outright</t>
        </is>
      </c>
      <c r="B51" s="5" t="n"/>
      <c r="C51" s="5" t="n"/>
      <c r="D51" s="5" t="n"/>
      <c r="E51" s="5" t="n"/>
      <c r="F51" s="5" t="n"/>
    </row>
    <row r="52">
      <c r="A52" s="3" t="inlineStr">
        <is>
          <t>Residual</t>
        </is>
      </c>
      <c r="B52" s="3" t="inlineStr">
        <is>
          <t>Tour-e outright ₹/km</t>
        </is>
      </c>
      <c r="C52" s="3" t="inlineStr">
        <is>
          <t>CNG ₹/km</t>
        </is>
      </c>
      <c r="D52" s="3" t="inlineStr">
        <is>
          <t>Uplift ₹/month</t>
        </is>
      </c>
    </row>
    <row r="53">
      <c r="A53" s="33" t="n">
        <v>0</v>
      </c>
      <c r="B53" s="18">
        <f>(ROUND(Inputs!$B$20/Inputs!$B$22*(Inputs!$B$27*Inputs!$B$24+(1-Inputs!$B$27)*Inputs!$B$25),2)+Inputs!$B$29+ROUND((PMT(Inputs!$B$11,Inputs!$B$6,-Cost_Price!$B$27,$A53*Cost_Price!$B$27)+Inputs!$B$12*Cost_Price!$B$27)*100000/Inputs!$B$7,2))</f>
        <v>9.53</v>
      </c>
      <c r="C53" s="18">
        <f>(ROUND(Inputs!$B$32/Inputs!$B$33,2)+Inputs!$B$34+ROUND((PMT(Inputs!$B$11,Inputs!$B$6,-Inputs!$B$31,Inputs!$B$13*Inputs!$B$31)+Inputs!$B$12*Inputs!$B$31)*100000/Inputs!$B$7,2))</f>
        <v>10.09</v>
      </c>
      <c r="D53" s="27">
        <f>(C53-B53)*Inputs!$B$7/12</f>
        <v>2800.0000000000023</v>
      </c>
    </row>
    <row r="54">
      <c r="A54" s="33" t="n">
        <v>0.05</v>
      </c>
      <c r="B54" s="18">
        <f>(ROUND(Inputs!$B$20/Inputs!$B$22*(Inputs!$B$27*Inputs!$B$24+(1-Inputs!$B$27)*Inputs!$B$25),2)+Inputs!$B$29+ROUND((PMT(Inputs!$B$11,Inputs!$B$6,-Cost_Price!$B$27,$A54*Cost_Price!$B$27)+Inputs!$B$12*Cost_Price!$B$27)*100000/Inputs!$B$7,2))</f>
        <v>9.34</v>
      </c>
      <c r="C54" s="18">
        <f>(ROUND(Inputs!$B$32/Inputs!$B$33,2)+Inputs!$B$34+ROUND((PMT(Inputs!$B$11,Inputs!$B$6,-Inputs!$B$31,Inputs!$B$13*Inputs!$B$31)+Inputs!$B$12*Inputs!$B$31)*100000/Inputs!$B$7,2))</f>
        <v>10.09</v>
      </c>
      <c r="D54" s="27">
        <f>(C54-B54)*Inputs!$B$7/12</f>
        <v>3750.0</v>
      </c>
    </row>
    <row r="55">
      <c r="A55" s="33" t="n">
        <v>0.1</v>
      </c>
      <c r="B55" s="18">
        <f>(ROUND(Inputs!$B$20/Inputs!$B$22*(Inputs!$B$27*Inputs!$B$24+(1-Inputs!$B$27)*Inputs!$B$25),2)+Inputs!$B$29+ROUND((PMT(Inputs!$B$11,Inputs!$B$6,-Cost_Price!$B$27,$A55*Cost_Price!$B$27)+Inputs!$B$12*Cost_Price!$B$27)*100000/Inputs!$B$7,2))</f>
        <v>9.149999999999999</v>
      </c>
      <c r="C55" s="18">
        <f>(ROUND(Inputs!$B$32/Inputs!$B$33,2)+Inputs!$B$34+ROUND((PMT(Inputs!$B$11,Inputs!$B$6,-Inputs!$B$31,Inputs!$B$13*Inputs!$B$31)+Inputs!$B$12*Inputs!$B$31)*100000/Inputs!$B$7,2))</f>
        <v>10.09</v>
      </c>
      <c r="D55" s="27">
        <f>(C55-B55)*Inputs!$B$7/12</f>
        <v>4700.000000000006</v>
      </c>
    </row>
    <row r="56">
      <c r="A56" s="33" t="n">
        <v>0.15</v>
      </c>
      <c r="B56" s="18">
        <f>(ROUND(Inputs!$B$20/Inputs!$B$22*(Inputs!$B$27*Inputs!$B$24+(1-Inputs!$B$27)*Inputs!$B$25),2)+Inputs!$B$29+ROUND((PMT(Inputs!$B$11,Inputs!$B$6,-Cost_Price!$B$27,$A56*Cost_Price!$B$27)+Inputs!$B$12*Cost_Price!$B$27)*100000/Inputs!$B$7,2))</f>
        <v>8.969999999999999</v>
      </c>
      <c r="C56" s="18">
        <f>(ROUND(Inputs!$B$32/Inputs!$B$33,2)+Inputs!$B$34+ROUND((PMT(Inputs!$B$11,Inputs!$B$6,-Inputs!$B$31,Inputs!$B$13*Inputs!$B$31)+Inputs!$B$12*Inputs!$B$31)*100000/Inputs!$B$7,2))</f>
        <v>10.09</v>
      </c>
      <c r="D56" s="27">
        <f>(C56-B56)*Inputs!$B$7/12</f>
        <v>5600.000000000005</v>
      </c>
    </row>
    <row r="57">
      <c r="A57" s="33" t="n">
        <v>0.25</v>
      </c>
      <c r="B57" s="18">
        <f>(ROUND(Inputs!$B$20/Inputs!$B$22*(Inputs!$B$27*Inputs!$B$24+(1-Inputs!$B$27)*Inputs!$B$25),2)+Inputs!$B$29+ROUND((PMT(Inputs!$B$11,Inputs!$B$6,-Cost_Price!$B$27,$A57*Cost_Price!$B$27)+Inputs!$B$12*Cost_Price!$B$27)*100000/Inputs!$B$7,2))</f>
        <v>8.59</v>
      </c>
      <c r="C57" s="18">
        <f>(ROUND(Inputs!$B$32/Inputs!$B$33,2)+Inputs!$B$34+ROUND((PMT(Inputs!$B$11,Inputs!$B$6,-Inputs!$B$31,Inputs!$B$13*Inputs!$B$31)+Inputs!$B$12*Inputs!$B$31)*100000/Inputs!$B$7,2))</f>
        <v>10.09</v>
      </c>
      <c r="D57" s="27">
        <f>(C57-B57)*Inputs!$B$7/12</f>
        <v>7500.0</v>
      </c>
    </row>
    <row r="58">
      <c r="A58" s="7" t="inlineStr">
        <is>
          <t>Resale value matters less than energy cost at this utilisation.</t>
        </is>
      </c>
    </row>
    <row r="60">
      <c r="A60" s="4" t="inlineStr">
        <is>
          <t>H · Battery EMI structured as a lease instead of a loan</t>
        </is>
      </c>
      <c r="B60" s="5" t="n"/>
      <c r="C60" s="5" t="n"/>
      <c r="D60" s="5" t="n"/>
      <c r="E60" s="5" t="n"/>
      <c r="F60" s="5" t="n"/>
    </row>
    <row r="61">
      <c r="A61" s="3" t="inlineStr">
        <is>
          <t>GST on EMI</t>
        </is>
      </c>
      <c r="B61" s="3" t="inlineStr">
        <is>
          <t>EMI incl. GST ₹/km</t>
        </is>
      </c>
      <c r="C61" s="3" t="inlineStr">
        <is>
          <t>Tour-e + EMI ₹/km</t>
        </is>
      </c>
      <c r="D61" s="3" t="inlineStr">
        <is>
          <t>CNG ₹/km</t>
        </is>
      </c>
      <c r="E61" s="3" t="inlineStr">
        <is>
          <t>Uplift ₹/month</t>
        </is>
      </c>
    </row>
    <row r="62">
      <c r="A62" s="33" t="n">
        <v>0</v>
      </c>
      <c r="B62" s="18">
        <f>Inputs!$B$51*(1+$A62)</f>
        <v>2.1</v>
      </c>
      <c r="C62" s="18">
        <f>(ROUND(Inputs!$B$20/Inputs!$B$22*(Inputs!$B$27*Inputs!$B$24+(1-Inputs!$B$27)*Inputs!$B$25),2)+Inputs!$B$29+ROUND(Inputs!$B$51*(1+$A62),2)+ROUND((PMT(Inputs!$B$11,Inputs!$B$6,-Cost_Price!$B$28,Inputs!$B$15*Cost_Price!$B$28)+Inputs!$B$12*Cost_Price!$B$28+Inputs!$B$12*Cost_Price!$B$29)*100000/Inputs!$B$7,2))</f>
        <v>9.059999999999999</v>
      </c>
      <c r="D62" s="18">
        <f>(ROUND(Inputs!$B$32/Inputs!$B$33,2)+Inputs!$B$34+ROUND((PMT(Inputs!$B$11,Inputs!$B$6,-Inputs!$B$31,Inputs!$B$13*Inputs!$B$31)+Inputs!$B$12*Inputs!$B$31)*100000/Inputs!$B$7,2))</f>
        <v>10.09</v>
      </c>
      <c r="E62" s="27">
        <f>(D62-C62)*Inputs!$B$7/12</f>
        <v>5150.0000000000055</v>
      </c>
    </row>
    <row r="63">
      <c r="A63" s="33" t="n">
        <v>0.18</v>
      </c>
      <c r="B63" s="18">
        <f>Inputs!$B$51*(1+$A63)</f>
        <v>2.4779999999999998</v>
      </c>
      <c r="C63" s="18">
        <f>(ROUND(Inputs!$B$20/Inputs!$B$22*(Inputs!$B$27*Inputs!$B$24+(1-Inputs!$B$27)*Inputs!$B$25),2)+Inputs!$B$29+ROUND(Inputs!$B$51*(1+$A63),2)+ROUND((PMT(Inputs!$B$11,Inputs!$B$6,-Cost_Price!$B$28,Inputs!$B$15*Cost_Price!$B$28)+Inputs!$B$12*Cost_Price!$B$28+Inputs!$B$12*Cost_Price!$B$29)*100000/Inputs!$B$7,2))</f>
        <v>9.440000000000001</v>
      </c>
      <c r="D63" s="18">
        <f>(ROUND(Inputs!$B$32/Inputs!$B$33,2)+Inputs!$B$34+ROUND((PMT(Inputs!$B$11,Inputs!$B$6,-Inputs!$B$31,Inputs!$B$13*Inputs!$B$31)+Inputs!$B$12*Inputs!$B$31)*100000/Inputs!$B$7,2))</f>
        <v>10.09</v>
      </c>
      <c r="E63" s="27">
        <f>(D63-C63)*Inputs!$B$7/12</f>
        <v>3249.9999999999927</v>
      </c>
    </row>
    <row r="64">
      <c r="A64" s="7" t="inlineStr">
        <is>
          <t>A lease would add 18% GST on the battery fee; the dual-loan structure used by Maruti's e VITARA avoids it.</t>
        </is>
      </c>
    </row>
    <row r="66">
      <c r="A66" s="4" t="inlineStr">
        <is>
          <t>G · Break-even points (Tour-e + battery EMI = Ertiga CNG, owner-driver)</t>
        </is>
      </c>
      <c r="B66" s="5" t="n"/>
      <c r="C66" s="5" t="n"/>
      <c r="D66" s="5" t="n"/>
      <c r="E66" s="5" t="n"/>
      <c r="F66" s="5" t="n"/>
    </row>
    <row r="67">
      <c r="A67" t="inlineStr">
        <is>
          <t>CNG price at which CNG = Tour-e + battery EMI (₹/kg)</t>
        </is>
      </c>
      <c r="E67" s="9">
        <f>((ROUND(Inputs!$B$20/Inputs!$B$22*(Inputs!$B$27*Inputs!$B$24+(1-Inputs!$B$27)*Inputs!$B$25),2)+Inputs!$B$29+Inputs!$B$51+ROUND((PMT(Inputs!$B$11,Inputs!$B$6,-Cost_Price!$B$28,Inputs!$B$15*Cost_Price!$B$28)+Inputs!$B$12*Cost_Price!$B$28+Inputs!$B$12*Cost_Price!$B$29)*100000/Inputs!$B$7,2))-Inputs!$B$34-ROUND((PMT(Inputs!$B$11,Inputs!$B$6,-Inputs!$B$31,Inputs!$B$13*Inputs!$B$31)+Inputs!$B$12*Inputs!$B$31)*100000/Inputs!$B$7,2))*Inputs!$B$33</f>
        <v>64.39999999999999</v>
      </c>
    </row>
    <row r="68">
      <c r="A68" t="inlineStr">
        <is>
          <t>Public DC tariff at 100% public charging where Tour-e = CNG (₹/kWh)</t>
        </is>
      </c>
      <c r="E68" s="9">
        <f>((ROUND(Inputs!$B$32/Inputs!$B$33,2)+Inputs!$B$34+ROUND((PMT(Inputs!$B$11,Inputs!$B$6,-Inputs!$B$31,Inputs!$B$13*Inputs!$B$31)+Inputs!$B$12*Inputs!$B$31)*100000/Inputs!$B$7,2))-Inputs!$B$29-Inputs!$B$51-ROUND((PMT(Inputs!$B$11,Inputs!$B$6,-Cost_Price!$B$28,Inputs!$B$15*Cost_Price!$B$28)+Inputs!$B$12*Cost_Price!$B$28+Inputs!$B$12*Cost_Price!$B$29)*100000/Inputs!$B$7,2))*Inputs!$B$22/Inputs!$B$20</f>
        <v>18.959999999999997</v>
      </c>
    </row>
    <row r="69">
      <c r="A69" t="inlineStr">
        <is>
          <t>Battery EMI at which Tour-e = CNG (₹/km)</t>
        </is>
      </c>
      <c r="E69" s="6">
        <f>(ROUND(Inputs!$B$32/Inputs!$B$33,2)+Inputs!$B$34+ROUND((PMT(Inputs!$B$11,Inputs!$B$6,-Inputs!$B$31,Inputs!$B$13*Inputs!$B$31)+Inputs!$B$12*Inputs!$B$31)*100000/Inputs!$B$7,2))-ROUND(Inputs!$B$20/Inputs!$B$22*(Inputs!$B$27*Inputs!$B$24+(1-Inputs!$B$27)*Inputs!$B$25),2)-Inputs!$B$29-ROUND((PMT(Inputs!$B$11,Inputs!$B$6,-Cost_Price!$B$28,Inputs!$B$15*Cost_Price!$B$28)+Inputs!$B$12*Cost_Price!$B$28+Inputs!$B$12*Cost_Price!$B$29)*100000/Inputs!$B$7,2)</f>
        <v>3.13</v>
      </c>
    </row>
  </sheetData>
  <mergeCells count="3">
    <mergeCell ref="A69:D69"/>
    <mergeCell ref="A67:D67"/>
    <mergeCell ref="A68:D68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3A89E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2035 at scale – same duty cycle, 2035 prices (2026 ₹)</t>
        </is>
      </c>
    </row>
    <row r="2">
      <c r="A2" s="2" t="inlineStr">
        <is>
          <t>Energy, CNG and maintenance held at 2026 levels; only vehicle price and BaaS rate change.</t>
        </is>
      </c>
    </row>
    <row r="4">
      <c r="A4" s="3" t="inlineStr">
        <is>
          <t>Item (60k km/yr, Maruti driver hub)</t>
        </is>
      </c>
      <c r="B4" s="3" t="inlineStr">
        <is>
          <t>Ertiga CNG</t>
        </is>
      </c>
      <c r="C4" s="3" t="inlineStr">
        <is>
          <t>Tour-e + EMI 2035</t>
        </is>
      </c>
      <c r="D4" s="3" t="inlineStr">
        <is>
          <t>Tour-e outright 2035</t>
        </is>
      </c>
      <c r="E4" s="3" t="inlineStr">
        <is>
          <t>Note</t>
        </is>
      </c>
    </row>
    <row r="5">
      <c r="A5" t="inlineStr">
        <is>
          <t>Energy (₹/km)</t>
        </is>
      </c>
      <c r="B5" s="18">
        <f>TCO!B6</f>
        <v>4.25</v>
      </c>
      <c r="C5" s="18">
        <f>TCO!C6</f>
        <v>2.13</v>
      </c>
      <c r="D5" s="18">
        <f>TCO!D6</f>
        <v>2.13</v>
      </c>
    </row>
    <row r="6">
      <c r="A6" t="inlineStr">
        <is>
          <t>Maintenance (₹/km)</t>
        </is>
      </c>
      <c r="B6" s="18">
        <f>TCO!B7</f>
        <v>0.95</v>
      </c>
      <c r="C6" s="18">
        <f>TCO!C7</f>
        <v>0.55</v>
      </c>
      <c r="D6" s="18">
        <f>TCO!D7</f>
        <v>0.55</v>
      </c>
    </row>
    <row r="7">
      <c r="A7" t="inlineStr">
        <is>
          <t>Battery EMI (₹/km)</t>
        </is>
      </c>
      <c r="B7" s="18">
        <f>0</f>
        <v>0.0</v>
      </c>
      <c r="C7" s="18">
        <f>Inputs!$B$52</f>
        <v>1.7</v>
      </c>
      <c r="D7" s="18">
        <f>0</f>
        <v>0.0</v>
      </c>
    </row>
    <row r="8">
      <c r="A8" t="inlineStr">
        <is>
          <t>Upfront price (₹ lakh)</t>
        </is>
      </c>
      <c r="B8" s="24">
        <f>Inputs!$B$31</f>
        <v>10.745</v>
      </c>
      <c r="C8" s="24">
        <f>Cost_Price!$C$28</f>
        <v>8.0078544</v>
      </c>
      <c r="D8" s="24">
        <f>Cost_Price!$C$27</f>
        <v>11.764116000000001</v>
      </c>
    </row>
    <row r="9">
      <c r="A9" t="inlineStr">
        <is>
          <t>Capital &amp; insurance (₹/km)</t>
        </is>
      </c>
      <c r="B9" s="18">
        <f>ROUND((PMT(Inputs!$B$11,Inputs!$B$6,-B8,Inputs!$B$13*B8)+Inputs!$B$12*B8)*100000/Inputs!$B$7,2)</f>
        <v>4.89</v>
      </c>
      <c r="C9" s="18">
        <f>ROUND((PMT(Inputs!$B$11,Inputs!$B$6,-C8,Inputs!$B$15*C8)+Inputs!$B$12*C8+Inputs!$B$12*Cost_Price!$C$29)*100000/Inputs!$B$7,2)</f>
        <v>3.71</v>
      </c>
      <c r="D9" s="18">
        <f>ROUND((PMT(Inputs!$B$11,Inputs!$B$6,-D8,Inputs!$B$14*D8)+Inputs!$B$12*D8)*100000/Inputs!$B$7,2)</f>
        <v>5.35</v>
      </c>
    </row>
    <row r="10">
      <c r="A10" t="inlineStr">
        <is>
          <t>TOTAL (₹/km)</t>
        </is>
      </c>
      <c r="B10" s="6">
        <f>B5+B6+B7+B9</f>
        <v>10.09</v>
      </c>
      <c r="C10" s="6">
        <f>C5+C6+C7+C9</f>
        <v>8.09</v>
      </c>
      <c r="D10" s="6">
        <f>D5+D6+D7+D9</f>
        <v>8.03</v>
      </c>
    </row>
    <row r="11">
      <c r="A11" t="inlineStr">
        <is>
          <t>Uplift vs CNG (₹/month)</t>
        </is>
      </c>
      <c r="B11" s="8">
        <f>0</f>
        <v>0.0</v>
      </c>
      <c r="C11" s="8">
        <f>(B10-C10)*Inputs!$B$7/12</f>
        <v>10000.0</v>
      </c>
      <c r="D11" s="8">
        <f>(B10-D10)*Inputs!$B$7/12</f>
        <v>10300.000000000002</v>
      </c>
    </row>
    <row r="13">
      <c r="A13" s="7" t="str">
        <f>"By 2035 the Tour-e with battery EMI runs ₹"&amp;TEXT(B10-C10,"0.0")&amp;"/km below the CNG benchmark: about ₹"&amp;TEXT(C11/1000,"0.0")&amp;"k a month for an owner-driver (Maruti driver hub charging)."</f>
        <v>By 2035 the Tour-e with battery EMI runs ₹2.0/km below the CNG benchmark: about ₹10.0k a month for an owner-driver (Maruti driver hub charging).</v>
      </c>
    </row>
  </sheetData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13A89E"/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1" t="inlineStr">
        <is>
          <t>What Maruti invests and when it pays back (team estimate, 2026 ₹)</t>
        </is>
      </c>
    </row>
    <row r="2">
      <c r="A2" s="2" t="inlineStr">
        <is>
          <t>Volumes are targets. Per-unit cost moves in a straight line from the 2028 to the 2035 cost stack.</t>
        </is>
      </c>
    </row>
    <row r="4">
      <c r="A4" s="3" t="inlineStr">
        <is>
          <t>Item</t>
        </is>
      </c>
      <c r="B4" s="3" t="inlineStr">
        <is>
          <t>2028</t>
        </is>
      </c>
      <c r="C4" s="3" t="inlineStr">
        <is>
          <t>2029</t>
        </is>
      </c>
      <c r="D4" s="3" t="inlineStr">
        <is>
          <t>2030</t>
        </is>
      </c>
      <c r="E4" s="3" t="inlineStr">
        <is>
          <t>2031</t>
        </is>
      </c>
      <c r="F4" s="3" t="inlineStr">
        <is>
          <t>2032</t>
        </is>
      </c>
      <c r="G4" s="3" t="inlineStr">
        <is>
          <t>2033</t>
        </is>
      </c>
      <c r="H4" s="3" t="inlineStr">
        <is>
          <t>2034</t>
        </is>
      </c>
      <c r="I4" s="3" t="inlineStr">
        <is>
          <t>2035</t>
        </is>
      </c>
      <c r="J4" s="3" t="inlineStr">
        <is>
          <t>Note</t>
        </is>
      </c>
    </row>
    <row r="5">
      <c r="A5" s="12" t="inlineStr">
        <is>
          <t>Volume (units)</t>
        </is>
      </c>
      <c r="B5" s="13" t="n">
        <v>10000</v>
      </c>
      <c r="C5" s="13" t="n">
        <v>25000</v>
      </c>
      <c r="D5" s="13" t="n">
        <v>40000</v>
      </c>
      <c r="E5" s="13" t="n">
        <v>50000</v>
      </c>
      <c r="F5" s="13" t="n">
        <v>65000</v>
      </c>
      <c r="G5" s="13" t="n">
        <v>80000</v>
      </c>
      <c r="H5" s="13" t="n">
        <v>90000</v>
      </c>
      <c r="I5" s="13" t="n">
        <v>100000</v>
      </c>
      <c r="J5" s="7" t="inlineStr">
        <is>
          <t>Pilot fleets 2026–28; ~50k/yr by 2031; ≥1 lakh/yr by 2035.</t>
        </is>
      </c>
    </row>
    <row r="6">
      <c r="A6" s="12" t="inlineStr">
        <is>
          <t>Ex-factory cost per unit (₹ L)</t>
        </is>
      </c>
      <c r="B6" s="18">
        <f>Cost_Price!$B$18+(Cost_Price!$C$18-Cost_Price!$B$18)*0.0</f>
        <v>11.719999999999999</v>
      </c>
      <c r="C6" s="18">
        <f>Cost_Price!$B$18+(Cost_Price!$C$18-Cost_Price!$B$18)*0.14285714285714285</f>
        <v>11.470714285714285</v>
      </c>
      <c r="D6" s="18">
        <f>Cost_Price!$B$18+(Cost_Price!$C$18-Cost_Price!$B$18)*0.2857142857142857</f>
        <v>11.22142857142857</v>
      </c>
      <c r="E6" s="18">
        <f>Cost_Price!$B$18+(Cost_Price!$C$18-Cost_Price!$B$18)*0.42857142857142855</f>
        <v>10.972142857142856</v>
      </c>
      <c r="F6" s="18">
        <f>Cost_Price!$B$18+(Cost_Price!$C$18-Cost_Price!$B$18)*0.5714285714285714</f>
        <v>10.722857142857142</v>
      </c>
      <c r="G6" s="18">
        <f>Cost_Price!$B$18+(Cost_Price!$C$18-Cost_Price!$B$18)*0.7142857142857143</f>
        <v>10.473571428571429</v>
      </c>
      <c r="H6" s="18">
        <f>Cost_Price!$B$18+(Cost_Price!$C$18-Cost_Price!$B$18)*0.8571428571428571</f>
        <v>10.224285714285713</v>
      </c>
      <c r="I6" s="18">
        <f>Cost_Price!$B$18+(Cost_Price!$C$18-Cost_Price!$B$18)*1.0</f>
        <v>9.975</v>
      </c>
    </row>
    <row r="7">
      <c r="A7" s="12" t="inlineStr">
        <is>
          <t>R&amp;D / tooling recovery per unit (₹ L)</t>
        </is>
      </c>
      <c r="B7" s="18">
        <f>Cost_Price!$B$17+(Cost_Price!$C$17-Cost_Price!$B$17)*0.0</f>
        <v>0.7</v>
      </c>
      <c r="C7" s="18">
        <f>Cost_Price!$B$17+(Cost_Price!$C$17-Cost_Price!$B$17)*0.14285714285714285</f>
        <v>0.6885714285714285</v>
      </c>
      <c r="D7" s="18">
        <f>Cost_Price!$B$17+(Cost_Price!$C$17-Cost_Price!$B$17)*0.2857142857142857</f>
        <v>0.6771428571428572</v>
      </c>
      <c r="E7" s="18">
        <f>Cost_Price!$B$17+(Cost_Price!$C$17-Cost_Price!$B$17)*0.42857142857142855</f>
        <v>0.6657142857142857</v>
      </c>
      <c r="F7" s="18">
        <f>Cost_Price!$B$17+(Cost_Price!$C$17-Cost_Price!$B$17)*0.5714285714285714</f>
        <v>0.6542857142857142</v>
      </c>
      <c r="G7" s="18">
        <f>Cost_Price!$B$17+(Cost_Price!$C$17-Cost_Price!$B$17)*0.7142857142857143</f>
        <v>0.6428571428571428</v>
      </c>
      <c r="H7" s="18">
        <f>Cost_Price!$B$17+(Cost_Price!$C$17-Cost_Price!$B$17)*0.8571428571428571</f>
        <v>0.6314285714285715</v>
      </c>
      <c r="I7" s="18">
        <f>Cost_Price!$B$17+(Cost_Price!$C$17-Cost_Price!$B$17)*1.0</f>
        <v>0.62</v>
      </c>
      <c r="J7" s="7" t="inlineStr">
        <is>
          <t>The R&amp;D / tooling line in the cost stack repays the programme capex.</t>
        </is>
      </c>
    </row>
    <row r="8">
      <c r="A8" s="12" t="inlineStr">
        <is>
          <t>OEM margin per unit (₹ L)</t>
        </is>
      </c>
      <c r="B8" s="18">
        <f>B6*Inputs!$B$39</f>
        <v>0.9375999999999999</v>
      </c>
      <c r="C8" s="18">
        <f>C6*Inputs!$B$39</f>
        <v>0.9176571428571428</v>
      </c>
      <c r="D8" s="18">
        <f>D6*Inputs!$B$39</f>
        <v>0.8977142857142856</v>
      </c>
      <c r="E8" s="18">
        <f>E6*Inputs!$B$39</f>
        <v>0.8777714285714285</v>
      </c>
      <c r="F8" s="18">
        <f>F6*Inputs!$B$39</f>
        <v>0.8578285714285714</v>
      </c>
      <c r="G8" s="18">
        <f>G6*Inputs!$B$39</f>
        <v>0.8378857142857143</v>
      </c>
      <c r="H8" s="18">
        <f>H6*Inputs!$B$39</f>
        <v>0.8179428571428571</v>
      </c>
      <c r="I8" s="18">
        <f>I6*Inputs!$B$39</f>
        <v>0.798</v>
      </c>
    </row>
    <row r="9">
      <c r="A9" s="12" t="inlineStr">
        <is>
          <t>Revenue at ex-factory price (₹ crore)</t>
        </is>
      </c>
      <c r="B9" s="27">
        <f>B5*B6*(1+Inputs!$B$39)/100</f>
        <v>1265.7599999999998</v>
      </c>
      <c r="C9" s="27">
        <f>C5*C6*(1+Inputs!$B$39)/100</f>
        <v>3097.0928571428567</v>
      </c>
      <c r="D9" s="27">
        <f>D5*D6*(1+Inputs!$B$39)/100</f>
        <v>4847.657142857142</v>
      </c>
      <c r="E9" s="27">
        <f>E5*E6*(1+Inputs!$B$39)/100</f>
        <v>5924.9571428571435</v>
      </c>
      <c r="F9" s="27">
        <f>F5*F6*(1+Inputs!$B$39)/100</f>
        <v>7527.445714285714</v>
      </c>
      <c r="G9" s="27">
        <f>G5*G6*(1+Inputs!$B$39)/100</f>
        <v>9049.165714285715</v>
      </c>
      <c r="H9" s="27">
        <f>H5*H6*(1+Inputs!$B$39)/100</f>
        <v>9938.005714285713</v>
      </c>
      <c r="I9" s="27">
        <f>I5*I6*(1+Inputs!$B$39)/100</f>
        <v>10773.0</v>
      </c>
    </row>
    <row r="10">
      <c r="A10" s="20" t="inlineStr">
        <is>
          <t>OEM margin (₹ crore)</t>
        </is>
      </c>
      <c r="B10" s="27">
        <f>B5*B8/100</f>
        <v>93.75999999999998</v>
      </c>
      <c r="C10" s="27">
        <f>C5*C8/100</f>
        <v>229.4142857142857</v>
      </c>
      <c r="D10" s="27">
        <f>D5*D8/100</f>
        <v>359.0857142857142</v>
      </c>
      <c r="E10" s="27">
        <f>E5*E8/100</f>
        <v>438.8857142857143</v>
      </c>
      <c r="F10" s="27">
        <f>F5*F8/100</f>
        <v>557.5885714285714</v>
      </c>
      <c r="G10" s="27">
        <f>G5*G8/100</f>
        <v>670.3085714285714</v>
      </c>
      <c r="H10" s="27">
        <f>H5*H8/100</f>
        <v>736.1485714285714</v>
      </c>
      <c r="I10" s="27">
        <f>I5*I8/100</f>
        <v>798.0</v>
      </c>
    </row>
    <row r="11">
      <c r="A11" s="12" t="inlineStr">
        <is>
          <t>Capex recovered in the year (₹ crore)</t>
        </is>
      </c>
      <c r="B11" s="27">
        <f>B5*B7/100</f>
        <v>70.0</v>
      </c>
      <c r="C11" s="27">
        <f>C5*C7/100</f>
        <v>172.14285714285714</v>
      </c>
      <c r="D11" s="27">
        <f>D5*D7/100</f>
        <v>270.8571428571429</v>
      </c>
      <c r="E11" s="27">
        <f>E5*E7/100</f>
        <v>332.85714285714283</v>
      </c>
      <c r="F11" s="27">
        <f>F5*F7/100</f>
        <v>425.2857142857143</v>
      </c>
      <c r="G11" s="27">
        <f>G5*G7/100</f>
        <v>514.2857142857142</v>
      </c>
      <c r="H11" s="27">
        <f>H5*H7/100</f>
        <v>568.2857142857142</v>
      </c>
      <c r="I11" s="27">
        <f>I5*I7/100</f>
        <v>620.0</v>
      </c>
    </row>
    <row r="12">
      <c r="A12" s="20" t="inlineStr">
        <is>
          <t>Cumulative capex recovered (₹ crore)</t>
        </is>
      </c>
      <c r="B12" s="27">
        <f>SUM($B11:B11)</f>
        <v>70.0</v>
      </c>
      <c r="C12" s="27">
        <f>SUM($B11:C11)</f>
        <v>242.14285714285714</v>
      </c>
      <c r="D12" s="27">
        <f>SUM($B11:D11)</f>
        <v>513.0</v>
      </c>
      <c r="E12" s="27">
        <f>SUM($B11:E11)</f>
        <v>845.8571428571429</v>
      </c>
      <c r="F12" s="27">
        <f>SUM($B11:F11)</f>
        <v>1271.142857142857</v>
      </c>
      <c r="G12" s="27">
        <f>SUM($B11:G11)</f>
        <v>1785.4285714285713</v>
      </c>
      <c r="H12" s="27">
        <f>SUM($B11:H11)</f>
        <v>2353.7142857142853</v>
      </c>
      <c r="I12" s="27">
        <f>SUM($B11:I11)</f>
        <v>2973.7142857142853</v>
      </c>
    </row>
    <row r="13">
      <c r="A13" s="12" t="inlineStr">
        <is>
          <t>Year capex is fully recovered</t>
        </is>
      </c>
      <c r="B13" s="29" t="str">
        <f>IF(B12&gt;=Inputs!$B$65,2028,"")</f>
        <v/>
      </c>
      <c r="C13" s="29" t="str">
        <f>IF(C12&gt;=Inputs!$B$65,2029,"")</f>
        <v/>
      </c>
      <c r="D13" s="29" t="str">
        <f>IF(D12&gt;=Inputs!$B$65,2030,"")</f>
        <v/>
      </c>
      <c r="E13" s="29" t="str">
        <f>IF(E12&gt;=Inputs!$B$65,2031,"")</f>
        <v/>
      </c>
      <c r="F13" s="29" t="str">
        <f>IF(F12&gt;=Inputs!$B$65,2032,"")</f>
        <v/>
      </c>
      <c r="G13" s="29">
        <f>IF(G12&gt;=Inputs!$B$65,2033,"")</f>
        <v>2033.0</v>
      </c>
      <c r="H13" s="29">
        <f>IF(H12&gt;=Inputs!$B$65,2034,"")</f>
        <v>2034.0</v>
      </c>
      <c r="I13" s="29">
        <f>IF(I12&gt;=Inputs!$B$65,2035,"")</f>
        <v>2035.0</v>
      </c>
    </row>
    <row r="15">
      <c r="A15" s="20" t="inlineStr">
        <is>
          <t>Programme capex (₹ crore)</t>
        </is>
      </c>
      <c r="B15" s="8">
        <f>Inputs!$B$65</f>
        <v>1500.0</v>
      </c>
    </row>
    <row r="16">
      <c r="A16" s="20" t="inlineStr">
        <is>
          <t>Payback year (capex fully recovered)</t>
        </is>
      </c>
      <c r="B16" s="10">
        <f>MIN(B13:I13)</f>
        <v>2033.0</v>
      </c>
    </row>
    <row r="17">
      <c r="A17" s="20" t="inlineStr">
        <is>
          <t>Cumulative units to payback</t>
        </is>
      </c>
      <c r="B17" s="8">
        <f>Inputs!$B$65*100/Cost_Price!$B$17</f>
        <v>214285.7142857143</v>
      </c>
    </row>
    <row r="18">
      <c r="A18" s="20" t="inlineStr">
        <is>
          <t>Cumulative OEM margin 2028–35 (₹ crore)</t>
        </is>
      </c>
      <c r="B18" s="8">
        <f>SUM(B10:I10)</f>
        <v>3883.1914285714283</v>
      </c>
    </row>
    <row r="19">
      <c r="A19" s="20" t="inlineStr">
        <is>
          <t>Maruti EV sales today, annualised (units)</t>
        </is>
      </c>
      <c r="B19" s="8">
        <f>Inputs!$B$63*12</f>
        <v>13248.0</v>
      </c>
      <c r="C19" s="7" t="inlineStr">
        <is>
          <t>Sep 2026 run-rate × 12.</t>
        </is>
      </c>
    </row>
    <row r="20">
      <c r="A20" s="20" t="inlineStr">
        <is>
          <t>Tour-e volume in 2031 vs Maruti's EV sales today</t>
        </is>
      </c>
      <c r="B20" s="34">
        <f>E5/B19</f>
        <v>3.774154589371981</v>
      </c>
      <c r="C20" s="7" t="inlineStr">
        <is>
          <t>Tour-e alone would multiply Maruti's EV volume.</t>
        </is>
      </c>
    </row>
    <row r="21">
      <c r="A21" s="20" t="inlineStr">
        <is>
          <t>CAFE III credit-equivalent units in 2031</t>
        </is>
      </c>
      <c r="B21" s="8">
        <f>E5*Inputs!$B$64</f>
        <v>150000.0</v>
      </c>
      <c r="C21" s="7" t="inlineStr">
        <is>
          <t>Each battery EV counts 3× toward CAFE III compliance.</t>
        </is>
      </c>
    </row>
    <row r="23">
      <c r="A23" s="7" t="inlineStr">
        <is>
          <t>Not counted (upside): battery-EMI programme margin, FleetOS subscriptions, driver-hub charging margin, service and parts revenue, and the CAFE III credit value.</t>
        </is>
      </c>
    </row>
  </sheetData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13A89E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60" customWidth="1" min="3" max="3"/>
    <col width="90" customWidth="1" min="4" max="4"/>
  </cols>
  <sheetData>
    <row r="1">
      <c r="A1" s="1" t="inlineStr">
        <is>
          <t>Sources used in the model</t>
        </is>
      </c>
    </row>
    <row r="2">
      <c r="A2" s="2" t="inlineStr">
        <is>
          <t>Accessed Sep–Oct 2026. Team assumptions are labelled on the Inputs sheet.</t>
        </is>
      </c>
    </row>
    <row r="4">
      <c r="A4" s="3" t="inlineStr">
        <is>
          <t>#</t>
        </is>
      </c>
      <c r="B4" s="3" t="inlineStr">
        <is>
          <t>Source</t>
        </is>
      </c>
      <c r="C4" s="3" t="inlineStr">
        <is>
          <t>Data used</t>
        </is>
      </c>
      <c r="D4" s="3" t="inlineStr">
        <is>
          <t>Link</t>
        </is>
      </c>
    </row>
    <row r="5">
      <c r="A5" t="n">
        <v>1</v>
      </c>
      <c r="B5" s="35" t="inlineStr">
        <is>
          <t>Maruti Suzuki press release (Feb 2026)</t>
        </is>
      </c>
      <c r="C5" s="35" t="inlineStr">
        <is>
          <t>e VITARA BaaS ₹10.99 L + ₹3.99/km; retail BaaS usage basis</t>
        </is>
      </c>
      <c r="D5" s="36" t="inlineStr">
        <is>
          <t>https://www.marutisuzuki.com/corporate/media/press-releases/2026/february/india-goes-electric-with-maruti-suzuki-e-vitara-introductory-baas-price-starts</t>
        </is>
      </c>
    </row>
    <row r="6">
      <c r="A6" t="n">
        <v>2</v>
      </c>
      <c r="B6" s="35" t="inlineStr">
        <is>
          <t>Autocar India – BaaS prices of e Vitara explained</t>
        </is>
      </c>
      <c r="C6" s="35" t="inlineStr">
        <is>
          <t>Pack value ~₹5 L (49 kWh); 1,800 km/month minimum</t>
        </is>
      </c>
      <c r="D6" s="36" t="inlineStr">
        <is>
          <t>https://www.autocarindia.com/auto-features/baas-prices-of-maruti-e-vitara-explained-440247</t>
        </is>
      </c>
    </row>
    <row r="7">
      <c r="A7" t="n">
        <v>3</v>
      </c>
      <c r="B7" s="35" t="inlineStr">
        <is>
          <t>Autocar India – Maruti prices after GST cuts (Sep 2025)</t>
        </is>
      </c>
      <c r="C7" s="35" t="inlineStr">
        <is>
          <t>Ertiga Tour M CNG post-GST ex-showroom</t>
        </is>
      </c>
      <c r="D7" s="36" t="inlineStr">
        <is>
          <t>https://www.autocarindia.com/car-news-amp/maruti-suzuki-prices-after-gst-cuts-the-swift-gets-a-lakh-cheaper-437189</t>
        </is>
      </c>
    </row>
    <row r="8">
      <c r="A8" t="n">
        <v>4</v>
      </c>
      <c r="B8" s="35" t="inlineStr">
        <is>
          <t>Outlook Business – Delhi CNG ₹86.98/kg</t>
        </is>
      </c>
      <c r="C8" s="35" t="inlineStr">
        <is>
          <t>CNG price, Aug–Sep 2026</t>
        </is>
      </c>
      <c r="D8" s="36" t="inlineStr">
        <is>
          <t>https://www.outlookbusiness.com/economy-and-policy/delhi-cng-to-cost-8698kg-as-igl-passes-on-rising-lng-costs</t>
        </is>
      </c>
    </row>
    <row r="9">
      <c r="A9" t="n">
        <v>5</v>
      </c>
      <c r="B9" s="35" t="inlineStr">
        <is>
          <t>BloombergNEF – 2025 battery price survey</t>
        </is>
      </c>
      <c r="C9" s="35" t="inlineStr">
        <is>
          <t>Pack prices: global $108/kWh; China $84/kWh; LFP $81/kWh</t>
        </is>
      </c>
      <c r="D9" s="36" t="inlineStr">
        <is>
          <t>https://about.bnef.com/insights/clean-transport/lithium-ion-battery-pack-prices-fall-to-108-per-kilowatt-hour-despite-rising-metal-prices-bloombergnef/</t>
        </is>
      </c>
    </row>
    <row r="10">
      <c r="A10" t="n">
        <v>6</v>
      </c>
      <c r="B10" s="35" t="inlineStr">
        <is>
          <t>ClearTax – GST on cars (GST 2.0)</t>
        </is>
      </c>
      <c r="C10" s="35" t="inlineStr">
        <is>
          <t>EV 5%; &gt;4 m petrol/CNG 40%, from 22 Sep 2025</t>
        </is>
      </c>
      <c r="D10" s="36" t="inlineStr">
        <is>
          <t>https://cleartax.in/s/gst-on-cars</t>
        </is>
      </c>
    </row>
    <row r="11">
      <c r="A11" t="n">
        <v>7</v>
      </c>
      <c r="B11" s="35" t="inlineStr">
        <is>
          <t>CEEW (2025) – Cost of ownership for road transport</t>
        </is>
      </c>
      <c r="C11" s="35" t="inlineStr">
        <is>
          <t>EVs cheapest-to-own taxi option; CNG next</t>
        </is>
      </c>
      <c r="D11" s="36" t="inlineStr">
        <is>
          <t>https://www.ceew.in/publications/cost-of-ownership-for-road-transport-sector-for-different-vehicle-segments-fuels-and-powertrains</t>
        </is>
      </c>
    </row>
    <row r="12">
      <c r="A12" t="n">
        <v>8</v>
      </c>
      <c r="B12" s="35" t="inlineStr">
        <is>
          <t>MeraEV – EV charging cost in India (2026)</t>
        </is>
      </c>
      <c r="C12" s="35" t="inlineStr">
        <is>
          <t>Public DC tariff range</t>
        </is>
      </c>
      <c r="D12" s="36" t="inlineStr">
        <is>
          <t>https://www.meraev.com/blog/ev-charging-cost-in-india-full-guide</t>
        </is>
      </c>
    </row>
    <row r="13">
      <c r="A13" t="n">
        <v>9</v>
      </c>
      <c r="B13" s="35" t="inlineStr">
        <is>
          <t>MyMotor – state-wise EV charging tariffs</t>
        </is>
      </c>
      <c r="C13" s="35" t="inlineStr">
        <is>
          <t>Depot / EV tariff range</t>
        </is>
      </c>
      <c r="D13" s="36" t="inlineStr">
        <is>
          <t>https://www.mymotor.in/blog/ev-charging-cost-india-state-wise-tariff</t>
        </is>
      </c>
    </row>
    <row r="14">
      <c r="A14" t="n">
        <v>10</v>
      </c>
      <c r="B14" s="35" t="inlineStr">
        <is>
          <t>HDFC Sky – INR/USD daily reports (Jun–Aug 2026)</t>
        </is>
      </c>
      <c r="C14" s="35" t="inlineStr">
        <is>
          <t>Exchange rate ~₹95/$</t>
        </is>
      </c>
      <c r="D14" s="36" t="inlineStr">
        <is>
          <t>https://hdfcsky.com/news/inr-usd-rate-august-11-2026-rupee-falls-95-43</t>
        </is>
      </c>
    </row>
    <row r="15">
      <c r="A15" t="n">
        <v>11</v>
      </c>
      <c r="B15" s="35" t="inlineStr">
        <is>
          <t>Rushlane – Ertiga CNG launch</t>
        </is>
      </c>
      <c r="C15" s="35" t="inlineStr">
        <is>
          <t>Claimed 26.11 km/kg CNG efficiency</t>
        </is>
      </c>
      <c r="D15" s="36" t="inlineStr">
        <is>
          <t>https://www.rushlane.com/2019-maruti-ertiga-cng-launched-12318513.html</t>
        </is>
      </c>
    </row>
    <row r="16">
      <c r="A16" t="n">
        <v>12</v>
      </c>
      <c r="B16" s="35" t="inlineStr">
        <is>
          <t>Business Standard – e VITARA pricing and BaaS (Feb 2026)</t>
        </is>
      </c>
      <c r="C16" s="35" t="inlineStr">
        <is>
          <t>BaaS structured as a dual loan (vehicle + battery)</t>
        </is>
      </c>
      <c r="D16" s="36" t="inlineStr">
        <is>
          <t>https://www.business-standard.com/industry/auto/maruti-suzuki-enters-ev-market-with-sharp-e-vitara-pricing-baas-model-126021700866_1.html</t>
        </is>
      </c>
    </row>
    <row r="17">
      <c r="A17" t="n">
        <v>13</v>
      </c>
      <c r="B17" s="35" t="inlineStr">
        <is>
          <t>Cartoq – Maruti YMC electric MPV</t>
        </is>
      </c>
      <c r="C17" s="35" t="inlineStr">
        <is>
          <t>YMC on HEARTECT-e; expected to use the 49 / 61 kWh packs (media reports)</t>
        </is>
      </c>
      <c r="D17" s="36" t="inlineStr">
        <is>
          <t>https://www.cartoq.com/car-news/maruti-suzuki-ymc-electric-mpv-launch-2026/</t>
        </is>
      </c>
    </row>
    <row r="18">
      <c r="A18" t="n">
        <v>14</v>
      </c>
      <c r="B18" s="35" t="inlineStr">
        <is>
          <t>CarDekho – e VITARA Delta specifications</t>
        </is>
      </c>
      <c r="C18" s="35" t="inlineStr">
        <is>
          <t>~45 min 10–80% DC (50 kW); 7.4 kW AC on-board charger</t>
        </is>
      </c>
      <c r="D18" s="36" t="inlineStr">
        <is>
          <t>https://www.cardekho.com/overview/Maruti_e_Vitara/Maruti_e_Vitara_Delta.htm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Team Tour-e</dc:creator>
  <dc:title xmlns:dc="http://purl.org/dc/elements/1.1/">Tour-e TCO Model</dc:title>
  <dcterms:created xmlns:dcterms="http://purl.org/dc/terms/" xmlns:xsi="http://www.w3.org/2001/XMLSchema-instance" xsi:type="dcterms:W3CDTF">2026-10-17T06:41:19Z</dcterms:created>
  <dcterms:modified xmlns:dcterms="http://purl.org/dc/terms/" xmlns:xsi="http://www.w3.org/2001/XMLSchema-instance" xsi:type="dcterms:W3CDTF">2026-10-17T06:41:19Z</dcterms:modified>
  <cp:lastModifiedBy>Team Tour-e</cp:lastModifiedBy>
</cp:coreProperties>
</file>