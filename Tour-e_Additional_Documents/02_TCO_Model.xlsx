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ost_Price" sheetId="3" state="visible" r:id="rId3"/>
    <sheet xmlns:r="http://schemas.openxmlformats.org/officeDocument/2006/relationships" name="BaaS" sheetId="4" state="visible" r:id="rId4"/>
    <sheet xmlns:r="http://schemas.openxmlformats.org/officeDocument/2006/relationships" name="TCO" sheetId="5" state="visible" r:id="rId5"/>
    <sheet xmlns:r="http://schemas.openxmlformats.org/officeDocument/2006/relationships" name="Driver_Economics" sheetId="6" state="visible" r:id="rId6"/>
    <sheet xmlns:r="http://schemas.openxmlformats.org/officeDocument/2006/relationships" name="Fleet_Economic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Scenario_2035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"/>
    <numFmt numFmtId="166" formatCode="0.0000"/>
    <numFmt numFmtId="167" formatCode="0.0"/>
    <numFmt numFmtId="168" formatCode="0.00&quot;×&quot;"/>
  </numFmts>
  <fonts count="10">
    <font>
      <name val="Calibri"/>
      <family val="2"/>
      <color theme="1"/>
      <sz val="11"/>
      <scheme val="minor"/>
    </font>
    <font>
      <name val="Calibri"/>
      <b val="1"/>
      <color rgb="000B2545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0B2545"/>
      <sz val="11"/>
    </font>
    <font>
      <name val="Calibri"/>
      <sz val="11"/>
    </font>
    <font>
      <name val="Calibri"/>
      <color rgb="000000FF"/>
      <sz val="11"/>
    </font>
    <font>
      <name val="Calibri"/>
      <color rgb="006B7280"/>
      <sz val="9"/>
    </font>
    <font>
      <name val="Calibri"/>
      <b val="1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EEF4FA"/>
      </patternFill>
    </fill>
    <fill>
      <patternFill patternType="solid">
        <fgColor rgb="00FFF7D6"/>
      </patternFill>
    </fill>
    <fill>
      <patternFill patternType="solid">
        <fgColor rgb="00DFF5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2" fontId="8" fillId="5" borderId="1" pivotButton="0" quotePrefix="0" xfId="0"/>
    <xf numFmtId="0" fontId="0" fillId="0" borderId="1" pivotButton="0" quotePrefix="0" xfId="0"/>
    <xf numFmtId="0" fontId="7" fillId="0" borderId="0" pivotButton="0" quotePrefix="0" xfId="0"/>
    <xf numFmtId="3" fontId="8" fillId="5" borderId="1" pivotButton="0" quotePrefix="0" xfId="0"/>
    <xf numFmtId="167" fontId="8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3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4" borderId="1" pivotButton="0" quotePrefix="0" xfId="0"/>
    <xf numFmtId="165" fontId="6" fillId="4" borderId="1" pivotButton="0" quotePrefix="0" xfId="0"/>
    <xf numFmtId="2" fontId="6" fillId="4" borderId="1" pivotButton="0" quotePrefix="0" xfId="0"/>
    <xf numFmtId="2" fontId="0" fillId="0" borderId="1" pivotButton="0" quotePrefix="0" xfId="0"/>
    <xf numFmtId="9" fontId="0" fillId="0" borderId="0" pivotButton="0" quotePrefix="0" xfId="0"/>
    <xf numFmtId="0" fontId="8" fillId="0" borderId="0" pivotButton="0" quotePrefix="0" xfId="0"/>
    <xf numFmtId="9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  <xf numFmtId="1" fontId="0" fillId="0" borderId="1" pivotButton="0" quotePrefix="0" xfId="0"/>
    <xf numFmtId="3" fontId="0" fillId="0" borderId="0" pivotButton="0" quotePrefix="0" xfId="0"/>
    <xf numFmtId="1" fontId="6" fillId="4" borderId="1" pivotButton="0" quotePrefix="0" xfId="0"/>
    <xf numFmtId="9" fontId="6" fillId="4" borderId="1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km at 60,000 km/yr (₹/km)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'TCO'!A6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'TCO'!$B$5:$D$5</f>
            </numRef>
          </cat>
          <val>
            <numRef>
              <f>'TCO'!$B$6:$D$6</f>
            </numRef>
          </val>
        </ser>
        <ser>
          <idx val="1"/>
          <order val="1"/>
          <tx>
            <strRef>
              <f>'TCO'!A7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'TCO'!$B$5:$D$5</f>
            </numRef>
          </cat>
          <val>
            <numRef>
              <f>'TCO'!$B$7:$D$7</f>
            </numRef>
          </val>
        </ser>
        <ser>
          <idx val="2"/>
          <order val="2"/>
          <tx>
            <strRef>
              <f>'TCO'!A8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'TCO'!$B$5:$D$5</f>
            </numRef>
          </cat>
          <val>
            <numRef>
              <f>'TCO'!$B$8:$D$8</f>
            </numRef>
          </val>
        </ser>
        <ser>
          <idx val="3"/>
          <order val="3"/>
          <tx>
            <strRef>
              <f>'TCO'!A13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'TCO'!$B$5:$D$5</f>
            </numRef>
          </cat>
          <val>
            <numRef>
              <f>'TCO'!$B$13:$D$13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₹/km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₹/km vs annual km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'Sensitivity'!$B$6:$B$11</f>
            </numRef>
          </val>
        </ser>
        <ser>
          <idx val="1"/>
          <order val="1"/>
          <tx>
            <strRef>
              <f>'Sensitivity'!C5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'Sensitivity'!$C$6:$C$11</f>
            </numRef>
          </val>
        </ser>
        <ser>
          <idx val="2"/>
          <order val="2"/>
          <tx>
            <strRef>
              <f>'Sensitivity'!D5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'Sensitivity'!$A$6:$A$11</f>
            </numRef>
          </cat>
          <val>
            <numRef>
              <f>'Sensitivity'!$D$6:$D$11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km/yr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₹/km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arutisuzuki.com/corporate/media/press-releases/2026/february/india-goes-electric-with-maruti-suzuki-e-vitara-introductory-baas-price-starts" TargetMode="External" Id="rId1"/><Relationship Type="http://schemas.openxmlformats.org/officeDocument/2006/relationships/hyperlink" Target="https://www.autocarindia.com/auto-features/baas-prices-of-maruti-e-vitara-explained-440247" TargetMode="External" Id="rId2"/><Relationship Type="http://schemas.openxmlformats.org/officeDocument/2006/relationships/hyperlink" Target="https://www.autocarindia.com/car-news-amp/maruti-suzuki-prices-after-gst-cuts-the-swift-gets-a-lakh-cheaper-437189" TargetMode="External" Id="rId3"/><Relationship Type="http://schemas.openxmlformats.org/officeDocument/2006/relationships/hyperlink" Target="https://www.outlookbusiness.com/economy-and-policy/delhi-cng-to-cost-8698kg-as-igl-passes-on-rising-lng-costs" TargetMode="External" Id="rId4"/><Relationship Type="http://schemas.openxmlformats.org/officeDocument/2006/relationships/hyperlink" Target="https://about.bnef.com/insights/clean-transport/lithium-ion-battery-pack-prices-fall-to-108-per-kilowatt-hour-despite-rising-metal-prices-bloombergnef/" TargetMode="External" Id="rId5"/><Relationship Type="http://schemas.openxmlformats.org/officeDocument/2006/relationships/hyperlink" Target="https://cleartax.in/s/gst-on-cars" TargetMode="External" Id="rId6"/><Relationship Type="http://schemas.openxmlformats.org/officeDocument/2006/relationships/hyperlink" Target="https://www.ceew.in/publications/cost-of-ownership-for-road-transport-sector-for-different-vehicle-segments-fuels-and-powertrains" TargetMode="External" Id="rId7"/><Relationship Type="http://schemas.openxmlformats.org/officeDocument/2006/relationships/hyperlink" Target="https://www.meraev.com/blog/ev-charging-cost-in-india-full-guide" TargetMode="External" Id="rId8"/><Relationship Type="http://schemas.openxmlformats.org/officeDocument/2006/relationships/hyperlink" Target="https://www.mymotor.in/blog/ev-charging-cost-india-state-wise-tariff" TargetMode="External" Id="rId9"/><Relationship Type="http://schemas.openxmlformats.org/officeDocument/2006/relationships/hyperlink" Target="https://hdfcsky.com/news/inr-usd-rate-august-11-2026-rupee-falls-95-43" TargetMode="External" Id="rId10"/><Relationship Type="http://schemas.openxmlformats.org/officeDocument/2006/relationships/hyperlink" Target="https://www.rushlane.com/2019-maruti-ertiga-cng-launched-12318513.html" TargetMode="External" Id="rId11"/></Relationships>
</file>

<file path=xl/worksheets/sheet1.xml><?xml version="1.0" encoding="utf-8"?>
<worksheet xmlns="http://schemas.openxmlformats.org/spreadsheetml/2006/main">
  <sheetPr>
    <tabColor rgb="000B2545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50" customWidth="1" min="4" max="4"/>
  </cols>
  <sheetData>
    <row r="1">
      <c r="A1" s="1" t="inlineStr">
        <is>
          <t>Tour-e – TCO model summary</t>
        </is>
      </c>
    </row>
    <row r="2">
      <c r="A2" s="2" t="inlineStr">
        <is>
          <t>Team model supporting the 2-slide submission (Maruti Suzuki XCELerate 2026, E-Track). All values are live formulas.</t>
        </is>
      </c>
    </row>
    <row r="4">
      <c r="A4" s="3" t="inlineStr">
        <is>
          <t>Headline</t>
        </is>
      </c>
      <c r="B4" s="3" t="inlineStr">
        <is>
          <t>Model</t>
        </is>
      </c>
      <c r="C4" s="3" t="inlineStr">
        <is>
          <t>On slides</t>
        </is>
      </c>
      <c r="D4" s="3" t="inlineStr">
        <is>
          <t>Sheet</t>
        </is>
      </c>
    </row>
    <row r="5">
      <c r="A5" t="inlineStr">
        <is>
          <t>Tour-e + BaaS cost per km, 60k km/yr (₹/km)</t>
        </is>
      </c>
      <c r="B5" s="4">
        <f>TCO!C14</f>
        <v>7.91</v>
      </c>
      <c r="C5" s="5" t="inlineStr">
        <is>
          <t>₹7.9</t>
        </is>
      </c>
      <c r="D5" s="6" t="inlineStr">
        <is>
          <t>TCO</t>
        </is>
      </c>
    </row>
    <row r="6">
      <c r="A6" t="inlineStr">
        <is>
          <t>Ertiga Tour M CNG cost per km, 60k km/yr (₹/km)</t>
        </is>
      </c>
      <c r="B6" s="4">
        <f>TCO!B14</f>
        <v>10.09</v>
      </c>
      <c r="C6" s="5" t="inlineStr">
        <is>
          <t>₹10.1</t>
        </is>
      </c>
      <c r="D6" s="6" t="inlineStr">
        <is>
          <t>TCO</t>
        </is>
      </c>
    </row>
    <row r="7">
      <c r="A7" t="inlineStr">
        <is>
          <t>Tour-e outright cost per km, 60k km/yr (₹/km)</t>
        </is>
      </c>
      <c r="B7" s="4">
        <f>TCO!D14</f>
        <v>8.07</v>
      </c>
      <c r="C7" s="5" t="inlineStr">
        <is>
          <t>₹8.1</t>
        </is>
      </c>
      <c r="D7" s="6" t="inlineStr">
        <is>
          <t>TCO</t>
        </is>
      </c>
    </row>
    <row r="8">
      <c r="A8" t="inlineStr">
        <is>
          <t>Owner-driver uplift (₹/month)</t>
        </is>
      </c>
      <c r="B8" s="7">
        <f>Driver_Economics!C11</f>
        <v>10900.0</v>
      </c>
      <c r="C8" s="5" t="inlineStr">
        <is>
          <t>+₹10.9k</t>
        </is>
      </c>
      <c r="D8" s="6" t="inlineStr">
        <is>
          <t>Driver_Economics</t>
        </is>
      </c>
    </row>
    <row r="9">
      <c r="A9" t="inlineStr">
        <is>
          <t>Fleet saving per car, BaaS, 80k km (₹ lakh/yr)</t>
        </is>
      </c>
      <c r="B9" s="4">
        <f>Fleet_Economics!C7</f>
        <v>1.464</v>
      </c>
      <c r="C9" s="5" t="inlineStr">
        <is>
          <t>₹1.5 L</t>
        </is>
      </c>
      <c r="D9" s="6" t="inlineStr">
        <is>
          <t>Fleet_Economics</t>
        </is>
      </c>
    </row>
    <row r="10">
      <c r="A10" t="inlineStr">
        <is>
          <t>Fleet saving per car, outright, 80k km (₹ lakh/yr)</t>
        </is>
      </c>
      <c r="B10" s="4">
        <f>Fleet_Economics!D7</f>
        <v>1.7599999999999993</v>
      </c>
      <c r="C10" s="5" t="inlineStr">
        <is>
          <t>₹1.8 L</t>
        </is>
      </c>
      <c r="D10" s="6" t="inlineStr">
        <is>
          <t>Fleet_Economics</t>
        </is>
      </c>
    </row>
    <row r="11">
      <c r="A11" t="inlineStr">
        <is>
          <t>Payback of outright premium (months)</t>
        </is>
      </c>
      <c r="B11" s="8">
        <f>Fleet_Economics!D12</f>
        <v>9.094178417266193</v>
      </c>
      <c r="C11" s="5" t="inlineStr">
        <is>
          <t>~9</t>
        </is>
      </c>
      <c r="D11" s="6" t="inlineStr">
        <is>
          <t>Fleet_Economics</t>
        </is>
      </c>
    </row>
    <row r="12">
      <c r="A12" t="inlineStr">
        <is>
          <t>Ex-factory cost 2028 / 2035 (₹ lakh)</t>
        </is>
      </c>
      <c r="B12" s="4" t="str">
        <f>TEXT(Cost_Price!$B$18,"0.00")&amp;" / "&amp;TEXT(Cost_Price!$C$18,"0.00")</f>
        <v>10.54 / 8.96</v>
      </c>
      <c r="C12" s="5" t="inlineStr">
        <is>
          <t>10.5 / 9.0</t>
        </is>
      </c>
      <c r="D12" s="6" t="inlineStr">
        <is>
          <t>Cost_Price</t>
        </is>
      </c>
    </row>
    <row r="13">
      <c r="A13" t="inlineStr">
        <is>
          <t>Ex-showroom outright 2028 / 2035 (₹ lakh)</t>
        </is>
      </c>
      <c r="B13" s="4" t="str">
        <f>TEXT(Cost_Price!$B$27,"0.00")&amp;" / "&amp;TEXT(Cost_Price!$C$27,"0.00")</f>
        <v>12.43 / 10.57</v>
      </c>
      <c r="C13" s="5" t="inlineStr">
        <is>
          <t>12.4 / 10.6</t>
        </is>
      </c>
      <c r="D13" s="6" t="inlineStr">
        <is>
          <t>Cost_Price</t>
        </is>
      </c>
    </row>
    <row r="14">
      <c r="A14" t="inlineStr">
        <is>
          <t>BaaS vehicle-only price 2028 / 2035 (₹ lakh)</t>
        </is>
      </c>
      <c r="B14" s="4" t="str">
        <f>TEXT(Cost_Price!$B$28,"0.00")&amp;" / "&amp;TEXT(Cost_Price!$C$28,"0.00")</f>
        <v>7.90 / 6.89</v>
      </c>
      <c r="C14" s="5" t="inlineStr">
        <is>
          <t>7.9 / 6.9</t>
        </is>
      </c>
      <c r="D14" s="6" t="inlineStr">
        <is>
          <t>Cost_Price</t>
        </is>
      </c>
    </row>
    <row r="15">
      <c r="A15" t="inlineStr">
        <is>
          <t>BaaS break-even @60k km 2028 / 2035 (₹/km)</t>
        </is>
      </c>
      <c r="B15" s="4" t="str">
        <f>TEXT(BaaS!$B$10,"0.00")&amp;" / "&amp;TEXT(BaaS!$C$10,"0.00")</f>
        <v>1.89 / 1.54</v>
      </c>
      <c r="C15" s="5" t="inlineStr">
        <is>
          <t>1.89 / 1.54</t>
        </is>
      </c>
      <c r="D15" s="6" t="inlineStr">
        <is>
          <t>BaaS</t>
        </is>
      </c>
    </row>
    <row r="16">
      <c r="A16" t="inlineStr">
        <is>
          <t>Real-world range (km)</t>
        </is>
      </c>
      <c r="B16" s="7">
        <f>BaaS!$B$26</f>
        <v>300.0</v>
      </c>
      <c r="C16" s="5" t="inlineStr">
        <is>
          <t>~300</t>
        </is>
      </c>
      <c r="D16" s="6" t="inlineStr">
        <is>
          <t>BaaS</t>
        </is>
      </c>
    </row>
    <row r="17">
      <c r="A17" t="inlineStr">
        <is>
          <t>Stress: CNG at ₹75/kg – uplift (₹/month)</t>
        </is>
      </c>
      <c r="B17" s="7">
        <f>Sensitivity!D17</f>
        <v>8399.999999999998</v>
      </c>
      <c r="C17" s="5" t="inlineStr">
        <is>
          <t>+₹8.4k</t>
        </is>
      </c>
      <c r="D17" s="6" t="inlineStr">
        <is>
          <t>Sensitivity B</t>
        </is>
      </c>
    </row>
    <row r="18">
      <c r="A18" t="inlineStr">
        <is>
          <t>Stress: 50% public DC – Tour-e BaaS (₹/km)</t>
        </is>
      </c>
      <c r="B18" s="4">
        <f>Sensitivity!C27</f>
        <v>8.453170610622907</v>
      </c>
      <c r="C18" s="5" t="inlineStr">
        <is>
          <t>₹8.45</t>
        </is>
      </c>
      <c r="D18" s="6" t="inlineStr">
        <is>
          <t>Sensitivity C</t>
        </is>
      </c>
    </row>
    <row r="19">
      <c r="A19" t="inlineStr">
        <is>
          <t>2035: Tour-e + BaaS cost per km (₹/km)</t>
        </is>
      </c>
      <c r="B19" s="4">
        <f>Scenario_2035!C10</f>
        <v>7.06</v>
      </c>
      <c r="C19" s="5" t="inlineStr">
        <is>
          <t>Roadmap</t>
        </is>
      </c>
      <c r="D19" s="6" t="inlineStr">
        <is>
          <t>Scenario_2035</t>
        </is>
      </c>
    </row>
    <row r="21">
      <c r="A21" s="9" t="inlineStr">
        <is>
          <t>How to use</t>
        </is>
      </c>
    </row>
    <row r="22">
      <c r="A22" s="10" t="inlineStr">
        <is>
          <t>1. Change any blue input on the Inputs sheet; every other sheet is formula-driven.</t>
        </is>
      </c>
    </row>
    <row r="23">
      <c r="A23" s="10" t="inlineStr">
        <is>
          <t>2. Sheets: Inputs → Cost_Price → BaaS → TCO → Driver_Economics → Fleet_Economics → Sensitivity → Scenario_2035 → Sources.</t>
        </is>
      </c>
    </row>
    <row r="24">
      <c r="A24" s="10" t="inlineStr">
        <is>
          <t>3. Capital cost uses Excel PMT: annual loan payment at 10.5% over 5 years with the residual value as the loan's future value, plus 3% insurance.</t>
        </is>
      </c>
    </row>
    <row r="25">
      <c r="A25" s="10" t="inlineStr">
        <is>
          <t>4. All values are in 2026 rupees with no inflation. Tour-e figures are design targets and team estimates, not current prices.</t>
        </is>
      </c>
    </row>
    <row r="26">
      <c r="A26" s="10" t="inlineStr">
        <is>
          <t>5. Road-tax / permit waivers for EVs and any state purchase incentives are excluded, so the EV case is conservative.</t>
        </is>
      </c>
    </row>
    <row r="27">
      <c r="A27" s="10" t="inlineStr">
        <is>
          <t>Colour key: blue on yellow = input; black = formula; green-tinted = headline output.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0B2545"/>
    <outlinePr summaryBelow="1" summaryRight="1"/>
    <pageSetUpPr/>
  </sheetPr>
  <dimension ref="A1:E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00" customWidth="1" min="5" max="5"/>
  </cols>
  <sheetData>
    <row r="1">
      <c r="A1" s="1" t="inlineStr">
        <is>
          <t>Inputs &amp; assumptions</t>
        </is>
      </c>
    </row>
    <row r="2">
      <c r="A2" s="2" t="inlineStr">
        <is>
          <t>Blue cells on yellow are inputs; change them and every sheet recalculates. All money in 2026 ₹ (no inflation).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Type</t>
        </is>
      </c>
      <c r="E4" s="3" t="inlineStr">
        <is>
          <t>Source / rationale</t>
        </is>
      </c>
    </row>
    <row r="5">
      <c r="A5" s="11" t="inlineStr">
        <is>
          <t>1 · Duty cycle &amp; finance</t>
        </is>
      </c>
      <c r="B5" s="12" t="n"/>
      <c r="C5" s="12" t="n"/>
      <c r="D5" s="12" t="n"/>
      <c r="E5" s="12" t="n"/>
    </row>
    <row r="6">
      <c r="A6" s="10" t="inlineStr">
        <is>
          <t>Ownership / analysis period</t>
        </is>
      </c>
      <c r="B6" s="13" t="n">
        <v>5</v>
      </c>
      <c r="C6" s="10" t="inlineStr">
        <is>
          <t>years</t>
        </is>
      </c>
      <c r="D6" s="6" t="inlineStr">
        <is>
          <t>Team assumption</t>
        </is>
      </c>
      <c r="E6" s="14" t="inlineStr">
        <is>
          <t>Typical commercial-vehicle loan tenure and fleet holding period.</t>
        </is>
      </c>
    </row>
    <row r="7">
      <c r="A7" s="10" t="inlineStr">
        <is>
          <t>Owner-driver annual km</t>
        </is>
      </c>
      <c r="B7" s="13" t="n">
        <v>60000</v>
      </c>
      <c r="C7" s="10" t="inlineStr">
        <is>
          <t>km/yr</t>
        </is>
      </c>
      <c r="D7" s="6" t="inlineStr">
        <is>
          <t>Team assumption</t>
        </is>
      </c>
      <c r="E7" s="14" t="inlineStr">
        <is>
          <t>≈200 km/day × 300 working days; matches the 200–250 km duty day cited by EV fleet operators (slide 2).</t>
        </is>
      </c>
    </row>
    <row r="8">
      <c r="A8" s="10" t="inlineStr">
        <is>
          <t>Fleet car annual km (double-shift)</t>
        </is>
      </c>
      <c r="B8" s="13" t="n">
        <v>80000</v>
      </c>
      <c r="C8" s="10" t="inlineStr">
        <is>
          <t>km/yr</t>
        </is>
      </c>
      <c r="D8" s="6" t="inlineStr">
        <is>
          <t>Team assumption</t>
        </is>
      </c>
      <c r="E8" s="14" t="inlineStr">
        <is>
          <t>≈250 km/day × 320 days; high-utilisation fleet case.</t>
        </is>
      </c>
    </row>
    <row r="9">
      <c r="A9" s="10" t="inlineStr">
        <is>
          <t>Owner-driver working days</t>
        </is>
      </c>
      <c r="B9" s="13" t="n">
        <v>300</v>
      </c>
      <c r="C9" s="10" t="inlineStr">
        <is>
          <t>days/yr</t>
        </is>
      </c>
      <c r="D9" s="6" t="inlineStr">
        <is>
          <t>Team assumption</t>
        </is>
      </c>
      <c r="E9" s="14" t="inlineStr">
        <is>
          <t>Six days a week, less holidays / servicing.</t>
        </is>
      </c>
    </row>
    <row r="10">
      <c r="A10" s="10" t="inlineStr">
        <is>
          <t>Fleet working days</t>
        </is>
      </c>
      <c r="B10" s="13" t="n">
        <v>320</v>
      </c>
      <c r="C10" s="10" t="inlineStr">
        <is>
          <t>days/yr</t>
        </is>
      </c>
      <c r="D10" s="6" t="inlineStr">
        <is>
          <t>Team assumption</t>
        </is>
      </c>
      <c r="E10" s="14" t="inlineStr">
        <is>
          <t>Double-shift fleet with planned downtime.</t>
        </is>
      </c>
    </row>
    <row r="11">
      <c r="A11" s="10" t="inlineStr">
        <is>
          <t>Vehicle finance rate (annual)</t>
        </is>
      </c>
      <c r="B11" s="15" t="n">
        <v>0.105</v>
      </c>
      <c r="C11" s="10" t="inlineStr">
        <is>
          <t>%</t>
        </is>
      </c>
      <c r="D11" s="6" t="inlineStr">
        <is>
          <t>Team assumption</t>
        </is>
      </c>
      <c r="E11" s="14" t="inlineStr">
        <is>
          <t>Commercial vehicle loans from banks/NBFCs typically 9.5–12%; mid-point used.</t>
        </is>
      </c>
    </row>
    <row r="12">
      <c r="A12" s="10" t="inlineStr">
        <is>
          <t>Insurance, % of ex-showroom per year</t>
        </is>
      </c>
      <c r="B12" s="15" t="n">
        <v>0.03</v>
      </c>
      <c r="C12" s="10" t="inlineStr">
        <is>
          <t>%/yr</t>
        </is>
      </c>
      <c r="D12" s="6" t="inlineStr">
        <is>
          <t>Team assumption</t>
        </is>
      </c>
      <c r="E12" s="14" t="inlineStr">
        <is>
          <t>Commercial comprehensive cover for a ₹10–12 L vehicle; applied flat over 5 years (conservative).</t>
        </is>
      </c>
    </row>
    <row r="13">
      <c r="A13" s="10" t="inlineStr">
        <is>
          <t>Residual value – Ertiga CNG at yr 5</t>
        </is>
      </c>
      <c r="B13" s="15" t="n">
        <v>0.15</v>
      </c>
      <c r="C13" s="10" t="inlineStr">
        <is>
          <t>% of price</t>
        </is>
      </c>
      <c r="D13" s="6" t="inlineStr">
        <is>
          <t>Team assumption</t>
        </is>
      </c>
      <c r="E13" s="14" t="inlineStr">
        <is>
          <t>High-mileage taxi (3–4 lakh km) resale; slide 2 uses a 15–20% range.</t>
        </is>
      </c>
    </row>
    <row r="14">
      <c r="A14" s="10" t="inlineStr">
        <is>
          <t>Residual value – Tour-e bought outright</t>
        </is>
      </c>
      <c r="B14" s="15" t="n">
        <v>0.15</v>
      </c>
      <c r="C14" s="10" t="inlineStr">
        <is>
          <t>% of price</t>
        </is>
      </c>
      <c r="D14" s="6" t="inlineStr">
        <is>
          <t>Team assumption</t>
        </is>
      </c>
      <c r="E14" s="14" t="inlineStr">
        <is>
          <t>Same as CNG – no EV premium assumed despite SoH passport (conservative).</t>
        </is>
      </c>
    </row>
    <row r="15">
      <c r="A15" s="10" t="inlineStr">
        <is>
          <t>Residual value – Tour-e body under BaaS</t>
        </is>
      </c>
      <c r="B15" s="15" t="n">
        <v>0.2</v>
      </c>
      <c r="C15" s="10" t="inlineStr">
        <is>
          <t>% of price</t>
        </is>
      </c>
      <c r="D15" s="6" t="inlineStr">
        <is>
          <t>Team assumption</t>
        </is>
      </c>
      <c r="E15" s="14" t="inlineStr">
        <is>
          <t>Battery stays with the BaaS provider, so the buyer holds no pack-fade risk; body/eAxle retain value better.</t>
        </is>
      </c>
    </row>
    <row r="16">
      <c r="A16" s="11" t="inlineStr">
        <is>
          <t>2 · Tour-e energy (design targets)</t>
        </is>
      </c>
      <c r="B16" s="12" t="n"/>
      <c r="C16" s="12" t="n"/>
      <c r="D16" s="12" t="n"/>
      <c r="E16" s="12" t="n"/>
    </row>
    <row r="17">
      <c r="A17" s="10" t="inlineStr">
        <is>
          <t>Usable battery capacity</t>
        </is>
      </c>
      <c r="B17" s="13" t="n">
        <v>45</v>
      </c>
      <c r="C17" s="10" t="inlineStr">
        <is>
          <t>kWh</t>
        </is>
      </c>
      <c r="D17" s="6" t="inlineStr">
        <is>
          <t>Design target</t>
        </is>
      </c>
      <c r="E17" s="14" t="inlineStr">
        <is>
          <t>Sized to cover a 200–250 km duty day with margin on one overnight charge.</t>
        </is>
      </c>
    </row>
    <row r="18">
      <c r="A18" s="10" t="inlineStr">
        <is>
          <t>Gross battery capacity</t>
        </is>
      </c>
      <c r="B18" s="13" t="n">
        <v>48</v>
      </c>
      <c r="C18" s="10" t="inlineStr">
        <is>
          <t>kWh</t>
        </is>
      </c>
      <c r="D18" s="6" t="inlineStr">
        <is>
          <t>Design target</t>
        </is>
      </c>
      <c r="E18" s="14" t="inlineStr">
        <is>
          <t>≈94% usable window, typical for LFP packs.</t>
        </is>
      </c>
    </row>
    <row r="19">
      <c r="A19" s="10" t="inlineStr">
        <is>
          <t>Energy use at the battery (real-world, AC on)</t>
        </is>
      </c>
      <c r="B19" s="16" t="n">
        <v>0.15</v>
      </c>
      <c r="C19" s="10" t="inlineStr">
        <is>
          <t>kWh/km</t>
        </is>
      </c>
      <c r="D19" s="6" t="inlineStr">
        <is>
          <t>Design target</t>
        </is>
      </c>
      <c r="E19" s="14" t="inlineStr">
        <is>
          <t>Compact MPV, ~1.6 t, heavy AC use; e VITARA-class vehicles achieve 130–160 Wh/km. 45 kWh ÷ 0.150 = 300 km.</t>
        </is>
      </c>
    </row>
    <row r="20">
      <c r="A20" s="10" t="inlineStr">
        <is>
          <t>Charging efficiency (grid → battery)</t>
        </is>
      </c>
      <c r="B20" s="15" t="n">
        <v>0.9</v>
      </c>
      <c r="C20" s="10" t="inlineStr">
        <is>
          <t>%</t>
        </is>
      </c>
      <c r="D20" s="6" t="inlineStr">
        <is>
          <t>Team assumption</t>
        </is>
      </c>
      <c r="E20" s="14" t="inlineStr">
        <is>
          <t>AC/DC charging losses of ~10%.</t>
        </is>
      </c>
    </row>
    <row r="21">
      <c r="A21" s="10" t="inlineStr">
        <is>
          <t>Depot / overnight tariff</t>
        </is>
      </c>
      <c r="B21" s="13" t="n">
        <v>9</v>
      </c>
      <c r="C21" s="10" t="inlineStr">
        <is>
          <t>₹/kWh</t>
        </is>
      </c>
      <c r="D21" s="6" t="inlineStr">
        <is>
          <t>Team assumption</t>
        </is>
      </c>
      <c r="E21" s="14" t="inlineStr">
        <is>
          <t>State commercial / EV-specific tariffs are typically ₹7–10/kWh incl. fixed charges (e.g., state EV tariff orders); ₹9 used.</t>
        </is>
      </c>
    </row>
    <row r="22">
      <c r="A22" s="10" t="inlineStr">
        <is>
          <t>Public DC fast-charging tariff</t>
        </is>
      </c>
      <c r="B22" s="13" t="n">
        <v>20</v>
      </c>
      <c r="C22" s="10" t="inlineStr">
        <is>
          <t>₹/kWh</t>
        </is>
      </c>
      <c r="D22" s="6" t="inlineStr">
        <is>
          <t>Sourced (range)</t>
        </is>
      </c>
      <c r="E22" s="14" t="inlineStr">
        <is>
          <t>Public DC CPO pricing in India 2026 is ~₹18–25/kWh incl. GST (MeraEV / MyMotor tariff guides).</t>
        </is>
      </c>
    </row>
    <row r="23">
      <c r="A23" s="10" t="inlineStr">
        <is>
          <t>Share of energy charged at depot</t>
        </is>
      </c>
      <c r="B23" s="15" t="n">
        <v>0.8</v>
      </c>
      <c r="C23" s="10" t="inlineStr">
        <is>
          <t>%</t>
        </is>
      </c>
      <c r="D23" s="6" t="inlineStr">
        <is>
          <t>Team assumption</t>
        </is>
      </c>
      <c r="E23" s="14" t="inlineStr">
        <is>
          <t>Fleet model built around overnight depot charging; 20% top-ups at public DC.</t>
        </is>
      </c>
    </row>
    <row r="24">
      <c r="A24" s="10" t="inlineStr">
        <is>
          <t>Tour-e maintenance + tyres</t>
        </is>
      </c>
      <c r="B24" s="17" t="n">
        <v>0.55</v>
      </c>
      <c r="C24" s="10" t="inlineStr">
        <is>
          <t>₹/km</t>
        </is>
      </c>
      <c r="D24" s="6" t="inlineStr">
        <is>
          <t>Team assumption</t>
        </is>
      </c>
      <c r="E24" s="14" t="inlineStr">
        <is>
          <t>No engine oil, filters, clutch; regen reduces brake wear. ~40–45% lower than CNG, consistent with fleet-operator reports.</t>
        </is>
      </c>
    </row>
    <row r="25">
      <c r="A25" s="11" t="inlineStr">
        <is>
          <t>3 · Ertiga Tour M CNG benchmark</t>
        </is>
      </c>
      <c r="B25" s="12" t="n"/>
      <c r="C25" s="12" t="n"/>
      <c r="D25" s="12" t="n"/>
      <c r="E25" s="12" t="n"/>
    </row>
    <row r="26">
      <c r="A26" s="10" t="inlineStr">
        <is>
          <t>Ertiga Tour M CNG ex-showroom (post GST 2.0)</t>
        </is>
      </c>
      <c r="B26" s="16" t="n">
        <v>10.745</v>
      </c>
      <c r="C26" s="10" t="inlineStr">
        <is>
          <t>₹ lakh</t>
        </is>
      </c>
      <c r="D26" s="6" t="inlineStr">
        <is>
          <t>Sourced</t>
        </is>
      </c>
      <c r="E26" s="14" t="inlineStr">
        <is>
          <t>₹10.74 L – Maruti post-GST 2.0 price list via Autocar India; Tour M is the fleet version of India's No.1 MPV.</t>
        </is>
      </c>
    </row>
    <row r="27">
      <c r="A27" s="10" t="inlineStr">
        <is>
          <t>CNG price</t>
        </is>
      </c>
      <c r="B27" s="13" t="n">
        <v>85</v>
      </c>
      <c r="C27" s="10" t="inlineStr">
        <is>
          <t>₹/kg</t>
        </is>
      </c>
      <c r="D27" s="6" t="inlineStr">
        <is>
          <t>Sourced (rounded down)</t>
        </is>
      </c>
      <c r="E27" s="14" t="inlineStr">
        <is>
          <t>Delhi IGL ₹86.98/kg from 29 Aug 2026 (Outlook Business, Goodreturns). ₹85 is slightly conservative – it favours CNG.</t>
        </is>
      </c>
    </row>
    <row r="28">
      <c r="A28" s="10" t="inlineStr">
        <is>
          <t>CNG real-world efficiency</t>
        </is>
      </c>
      <c r="B28" s="13" t="n">
        <v>20</v>
      </c>
      <c r="C28" s="10" t="inlineStr">
        <is>
          <t>km/kg</t>
        </is>
      </c>
      <c r="D28" s="6" t="inlineStr">
        <is>
          <t>Team assumption</t>
        </is>
      </c>
      <c r="E28" s="14" t="inlineStr">
        <is>
          <t>Claimed 26.11 km/kg (ARAI); city taxi duty with AC typically 18–21 km/kg.</t>
        </is>
      </c>
    </row>
    <row r="29">
      <c r="A29" s="10" t="inlineStr">
        <is>
          <t>CNG maintenance + tyres</t>
        </is>
      </c>
      <c r="B29" s="17" t="n">
        <v>0.95</v>
      </c>
      <c r="C29" s="10" t="inlineStr">
        <is>
          <t>₹/km</t>
        </is>
      </c>
      <c r="D29" s="6" t="inlineStr">
        <is>
          <t>Team assumption</t>
        </is>
      </c>
      <c r="E29" s="14" t="inlineStr">
        <is>
          <t>Engine oil/filter every 10k km, spark plugs, clutch, CNG kit servicing and hydro-testing.</t>
        </is>
      </c>
    </row>
    <row r="30">
      <c r="A30" s="11" t="inlineStr">
        <is>
          <t>4 · Cost stack &amp; pricing</t>
        </is>
      </c>
      <c r="B30" s="12" t="n"/>
      <c r="C30" s="12" t="n"/>
      <c r="D30" s="12" t="n"/>
      <c r="E30" s="12" t="n"/>
    </row>
    <row r="31">
      <c r="A31" s="10" t="inlineStr">
        <is>
          <t>Battery pack cost 2028 (landed, pack level)</t>
        </is>
      </c>
      <c r="B31" s="13" t="n">
        <v>8000</v>
      </c>
      <c r="C31" s="10" t="inlineStr">
        <is>
          <t>₹/kWh</t>
        </is>
      </c>
      <c r="D31" s="6" t="inlineStr">
        <is>
          <t>Sourced (anchored)</t>
        </is>
      </c>
      <c r="E31" s="14" t="inlineStr">
        <is>
          <t>≈$84/kWh × ₹95/$ – BNEF 2025 survey: China average pack price $84/kWh (global $108). Cross-check: e VITARA 49 kWh pack priced ~₹5 L retail.</t>
        </is>
      </c>
    </row>
    <row r="32">
      <c r="A32" s="10" t="inlineStr">
        <is>
          <t>Battery pack cost 2035</t>
        </is>
      </c>
      <c r="B32" s="13" t="n">
        <v>6500</v>
      </c>
      <c r="C32" s="10" t="inlineStr">
        <is>
          <t>₹/kWh</t>
        </is>
      </c>
      <c r="D32" s="6" t="inlineStr">
        <is>
          <t>Team assumption</t>
        </is>
      </c>
      <c r="E32" s="14" t="inlineStr">
        <is>
          <t>~19% below 2028 in real terms (≈3%/yr) via localised cells (ACC-PLI) and LFP scale; conservative vs. BNEF outlooks.</t>
        </is>
      </c>
    </row>
    <row r="33">
      <c r="A33" s="10" t="inlineStr">
        <is>
          <t>Exchange rate</t>
        </is>
      </c>
      <c r="B33" s="13" t="n">
        <v>95</v>
      </c>
      <c r="C33" s="10" t="inlineStr">
        <is>
          <t>₹/US$</t>
        </is>
      </c>
      <c r="D33" s="6" t="inlineStr">
        <is>
          <t>Sourced</t>
        </is>
      </c>
      <c r="E33" s="14" t="inlineStr">
        <is>
          <t>INR traded ~₹94.6–95.4 per US$ in Jun–Aug 2026 (HDFC Sky daily market reports).</t>
        </is>
      </c>
    </row>
    <row r="34">
      <c r="A34" s="10" t="inlineStr">
        <is>
          <t>OEM margin on cost</t>
        </is>
      </c>
      <c r="B34" s="15" t="n">
        <v>0.08</v>
      </c>
      <c r="C34" s="10" t="inlineStr">
        <is>
          <t>%</t>
        </is>
      </c>
      <c r="D34" s="6" t="inlineStr">
        <is>
          <t>Team assumption</t>
        </is>
      </c>
      <c r="E34" s="14" t="inlineStr">
        <is>
          <t>Mass-market OEM EBIT margins ~7–10%.</t>
        </is>
      </c>
    </row>
    <row r="35">
      <c r="A35" s="10" t="inlineStr">
        <is>
          <t>Dealer margin</t>
        </is>
      </c>
      <c r="B35" s="15" t="n">
        <v>0.04</v>
      </c>
      <c r="C35" s="10" t="inlineStr">
        <is>
          <t>%</t>
        </is>
      </c>
      <c r="D35" s="6" t="inlineStr">
        <is>
          <t>Team assumption</t>
        </is>
      </c>
      <c r="E35" s="14" t="inlineStr">
        <is>
          <t>Fleet sales carry thin dealer margins (3–5%).</t>
        </is>
      </c>
    </row>
    <row r="36">
      <c r="A36" s="10" t="inlineStr">
        <is>
          <t>GST on EVs</t>
        </is>
      </c>
      <c r="B36" s="15" t="n">
        <v>0.05</v>
      </c>
      <c r="C36" s="10" t="inlineStr">
        <is>
          <t>%</t>
        </is>
      </c>
      <c r="D36" s="6" t="inlineStr">
        <is>
          <t>Sourced</t>
        </is>
      </c>
      <c r="E36" s="14" t="inlineStr">
        <is>
          <t>GST Council, GST 2.0 effective 22 Sep 2025: EVs stay at 5%.</t>
        </is>
      </c>
    </row>
    <row r="37">
      <c r="A37" s="10" t="inlineStr">
        <is>
          <t>GST on CNG cars &gt;4 m (for reference)</t>
        </is>
      </c>
      <c r="B37" s="15" t="n">
        <v>0.4</v>
      </c>
      <c r="C37" s="10" t="inlineStr">
        <is>
          <t>%</t>
        </is>
      </c>
      <c r="D37" s="6" t="inlineStr">
        <is>
          <t>Sourced</t>
        </is>
      </c>
      <c r="E37" s="14" t="inlineStr">
        <is>
          <t>GST 2.0: petrol/CNG cars &gt;4 m or &gt;1,200 cc attract 40% (Ertiga included).</t>
        </is>
      </c>
    </row>
    <row r="38">
      <c r="A38" s="11" t="inlineStr">
        <is>
          <t>5 · Battery-as-a-Service (BaaS)</t>
        </is>
      </c>
      <c r="B38" s="12" t="n"/>
      <c r="C38" s="12" t="n"/>
      <c r="D38" s="12" t="n"/>
      <c r="E38" s="12" t="n"/>
    </row>
    <row r="39">
      <c r="A39" s="10" t="inlineStr">
        <is>
          <t>BaaS provider cost of capital</t>
        </is>
      </c>
      <c r="B39" s="15" t="n">
        <v>0.11</v>
      </c>
      <c r="C39" s="10" t="inlineStr">
        <is>
          <t>%</t>
        </is>
      </c>
      <c r="D39" s="6" t="inlineStr">
        <is>
          <t>Team assumption</t>
        </is>
      </c>
      <c r="E39" s="14" t="inlineStr">
        <is>
          <t>NBFC/lessor funding cost for battery assets.</t>
        </is>
      </c>
    </row>
    <row r="40">
      <c r="A40" s="10" t="inlineStr">
        <is>
          <t>BaaS amortisation term</t>
        </is>
      </c>
      <c r="B40" s="13" t="n">
        <v>5</v>
      </c>
      <c r="C40" s="10" t="inlineStr">
        <is>
          <t>years</t>
        </is>
      </c>
      <c r="D40" s="6" t="inlineStr">
        <is>
          <t>Team assumption</t>
        </is>
      </c>
      <c r="E40" s="14" t="inlineStr">
        <is>
          <t>Matches the fleet holding period.</t>
        </is>
      </c>
    </row>
    <row r="41">
      <c r="A41" s="10" t="inlineStr">
        <is>
          <t>Pack residual value at end of term</t>
        </is>
      </c>
      <c r="B41" s="15" t="n">
        <v>0.25</v>
      </c>
      <c r="C41" s="10" t="inlineStr">
        <is>
          <t>% of pack price</t>
        </is>
      </c>
      <c r="D41" s="6" t="inlineStr">
        <is>
          <t>Team assumption</t>
        </is>
      </c>
      <c r="E41" s="14" t="inlineStr">
        <is>
          <t>LFP pack at ≥70% SoH has second-life value (stationary storage).</t>
        </is>
      </c>
    </row>
    <row r="42">
      <c r="A42" s="10" t="inlineStr">
        <is>
          <t>Risk reserve (fade / replacement)</t>
        </is>
      </c>
      <c r="B42" s="15" t="n">
        <v>0.1</v>
      </c>
      <c r="C42" s="10" t="inlineStr">
        <is>
          <t>%</t>
        </is>
      </c>
      <c r="D42" s="6" t="inlineStr">
        <is>
          <t>Team assumption</t>
        </is>
      </c>
      <c r="E42" s="14" t="inlineStr">
        <is>
          <t>Covers early replacement risk under a 4 lakh km design life.</t>
        </is>
      </c>
    </row>
    <row r="43">
      <c r="A43" s="10" t="inlineStr">
        <is>
          <t>BaaS provider margin</t>
        </is>
      </c>
      <c r="B43" s="15" t="n">
        <v>0.08</v>
      </c>
      <c r="C43" s="10" t="inlineStr">
        <is>
          <t>%</t>
        </is>
      </c>
      <c r="D43" s="6" t="inlineStr">
        <is>
          <t>Team assumption</t>
        </is>
      </c>
      <c r="E43" s="14" t="inlineStr">
        <is>
          <t>Lessor margin.</t>
        </is>
      </c>
    </row>
    <row r="44">
      <c r="A44" s="10" t="inlineStr">
        <is>
          <t>Minimum contracted km (fleet BaaS)</t>
        </is>
      </c>
      <c r="B44" s="13" t="n">
        <v>60000</v>
      </c>
      <c r="C44" s="10" t="inlineStr">
        <is>
          <t>km/yr</t>
        </is>
      </c>
      <c r="D44" s="6" t="inlineStr">
        <is>
          <t>Team assumption</t>
        </is>
      </c>
      <c r="E44" s="14" t="inlineStr">
        <is>
          <t>Rate is priced on this floor; more km lowers the provider's cost per km.</t>
        </is>
      </c>
    </row>
    <row r="45">
      <c r="A45" s="10" t="inlineStr">
        <is>
          <t>Fleet BaaS rate 2028 (chosen)</t>
        </is>
      </c>
      <c r="B45" s="17" t="n">
        <v>2</v>
      </c>
      <c r="C45" s="10" t="inlineStr">
        <is>
          <t>₹/km</t>
        </is>
      </c>
      <c r="D45" s="6" t="inlineStr">
        <is>
          <t>Team decision</t>
        </is>
      </c>
      <c r="E45" s="14" t="inlineStr">
        <is>
          <t>Rounded up from the ₹1.89/km break-even (see BaaS sheet).</t>
        </is>
      </c>
    </row>
    <row r="46">
      <c r="A46" s="10" t="inlineStr">
        <is>
          <t>Fleet BaaS rate 2035 (chosen)</t>
        </is>
      </c>
      <c r="B46" s="17" t="n">
        <v>1.6</v>
      </c>
      <c r="C46" s="10" t="inlineStr">
        <is>
          <t>₹/km</t>
        </is>
      </c>
      <c r="D46" s="6" t="inlineStr">
        <is>
          <t>Team decision</t>
        </is>
      </c>
      <c r="E46" s="14" t="inlineStr">
        <is>
          <t>Rounded up from the ₹1.54/km break-even.</t>
        </is>
      </c>
    </row>
    <row r="47">
      <c r="A47" s="10" t="inlineStr">
        <is>
          <t>Retail e VITARA BaaS rate (benchmark)</t>
        </is>
      </c>
      <c r="B47" s="17" t="n">
        <v>3.99</v>
      </c>
      <c r="C47" s="10" t="inlineStr">
        <is>
          <t>₹/km</t>
        </is>
      </c>
      <c r="D47" s="6" t="inlineStr">
        <is>
          <t>Sourced</t>
        </is>
      </c>
      <c r="E47" s="14" t="inlineStr">
        <is>
          <t>Maruti Suzuki press release, Feb 2026 (49 kWh pack).</t>
        </is>
      </c>
    </row>
    <row r="48">
      <c r="A48" s="10" t="inlineStr">
        <is>
          <t>Retail e VITARA BaaS usage basis</t>
        </is>
      </c>
      <c r="B48" s="13" t="n">
        <v>21900</v>
      </c>
      <c r="C48" s="10" t="inlineStr">
        <is>
          <t>km/yr</t>
        </is>
      </c>
      <c r="D48" s="6" t="inlineStr">
        <is>
          <t>Sourced (derived)</t>
        </is>
      </c>
      <c r="E48" s="14" t="inlineStr">
        <is>
          <t>Rate is quoted on ~60 km/day (Maruti minimum 1,800 km/month); 60 × 365 = 21,900.</t>
        </is>
      </c>
    </row>
    <row r="49">
      <c r="A49" s="11" t="inlineStr">
        <is>
          <t>6 · Driver revenue (illustrative only)</t>
        </is>
      </c>
      <c r="B49" s="12" t="n"/>
      <c r="C49" s="12" t="n"/>
      <c r="D49" s="12" t="n"/>
      <c r="E49" s="12" t="n"/>
    </row>
    <row r="50">
      <c r="A50" s="10" t="inlineStr">
        <is>
          <t>Net fare earnings to driver per km driven</t>
        </is>
      </c>
      <c r="B50" s="17" t="n">
        <v>13.5</v>
      </c>
      <c r="C50" s="10" t="inlineStr">
        <is>
          <t>₹/km</t>
        </is>
      </c>
      <c r="D50" s="6" t="inlineStr">
        <is>
          <t>Team assumption</t>
        </is>
      </c>
      <c r="E50" s="14" t="inlineStr">
        <is>
          <t>After platform commission and dead km. ONLY used for absolute income; the Tour-e uplift does not depend on it.</t>
        </is>
      </c>
    </row>
    <row r="51">
      <c r="A51" s="10" t="inlineStr">
        <is>
          <t>Example fleet size</t>
        </is>
      </c>
      <c r="B51" s="13" t="n">
        <v>100</v>
      </c>
      <c r="C51" s="10" t="inlineStr">
        <is>
          <t>cars</t>
        </is>
      </c>
      <c r="D51" s="6" t="inlineStr">
        <is>
          <t>Illustrative</t>
        </is>
      </c>
      <c r="E51" s="14" t="inlineStr">
        <is>
          <t>For fleet-level totals.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13A89E"/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1" customWidth="1" min="4" max="4"/>
    <col width="80" customWidth="1" min="5" max="5"/>
  </cols>
  <sheetData>
    <row r="1">
      <c r="A1" s="1" t="inlineStr">
        <is>
          <t>Bottom-up cost stack &amp; price build-up (₹ lakh per vehicle, 2026 ₹)</t>
        </is>
      </c>
    </row>
    <row r="2">
      <c r="A2" s="2" t="inlineStr">
        <is>
          <t>Team estimate for a HEARTECT-e derived compact MPV. Battery line is formula-driven; other lines are inputs (blue).</t>
        </is>
      </c>
    </row>
    <row r="4">
      <c r="A4" s="3" t="inlineStr">
        <is>
          <t>Cost line</t>
        </is>
      </c>
      <c r="B4" s="3" t="inlineStr">
        <is>
          <t>2028 launch</t>
        </is>
      </c>
      <c r="C4" s="3" t="inlineStr">
        <is>
          <t>2035 scale</t>
        </is>
      </c>
      <c r="D4" s="3" t="inlineStr">
        <is>
          <t>Change</t>
        </is>
      </c>
      <c r="E4" s="3" t="inlineStr">
        <is>
          <t>Basis</t>
        </is>
      </c>
    </row>
    <row r="5">
      <c r="A5" t="inlineStr">
        <is>
          <t>Battery pack (48 kWh gross)</t>
        </is>
      </c>
      <c r="B5" s="18">
        <f>Inputs!$B$18*Inputs!$B$31/100000</f>
        <v>3.84</v>
      </c>
      <c r="C5" s="18">
        <f>Inputs!$B$18*Inputs!$B$32/100000</f>
        <v>3.12</v>
      </c>
      <c r="D5" s="19">
        <f>C5/B5-1</f>
        <v>-0.1874999999999999</v>
      </c>
      <c r="E5" s="6" t="inlineStr">
        <is>
          <t>Gross kWh × ₹/kWh (Inputs). 2028 ≈ BNEF China pack average; cross-check e VITARA pack ~₹5 L retail.</t>
        </is>
      </c>
    </row>
    <row r="6">
      <c r="A6" t="inlineStr">
        <is>
          <t>Body-in-white, paint, closures (incl. powered sliding door)</t>
        </is>
      </c>
      <c r="B6" s="17" t="n">
        <v>1.35</v>
      </c>
      <c r="C6" s="17" t="n">
        <v>1.25</v>
      </c>
      <c r="D6" s="19">
        <f>C6/B6-1</f>
        <v>-0.07407407407407418</v>
      </c>
      <c r="E6" s="6" t="inlineStr">
        <is>
          <t>Ertiga-class steel body; one powered kerb-side slider.</t>
        </is>
      </c>
    </row>
    <row r="7">
      <c r="A7" t="inlineStr">
        <is>
          <t>Interior &amp; seats (5+2, fold-flat 3rd row)</t>
        </is>
      </c>
      <c r="B7" s="17" t="n">
        <v>0.85</v>
      </c>
      <c r="C7" s="17" t="n">
        <v>0.76</v>
      </c>
      <c r="D7" s="19">
        <f>C7/B7-1</f>
        <v>-0.10588235294117643</v>
      </c>
      <c r="E7" s="6" t="inlineStr">
        <is>
          <t>Taxi-grade washable trim.</t>
        </is>
      </c>
    </row>
    <row r="8">
      <c r="A8" t="inlineStr">
        <is>
          <t>Chassis, suspension, brakes, wheels</t>
        </is>
      </c>
      <c r="B8" s="17" t="n">
        <v>0.7</v>
      </c>
      <c r="C8" s="17" t="n">
        <v>0.64</v>
      </c>
      <c r="D8" s="19">
        <f>C8/B8-1</f>
        <v>-0.08571428571428563</v>
      </c>
      <c r="E8" s="6" t="inlineStr">
        <is>
          <t>Heavy-duty dampers and bushes for commercial duty.</t>
        </is>
      </c>
    </row>
    <row r="9">
      <c r="A9" t="inlineStr">
        <is>
          <t>Low-voltage electrics &amp; harness</t>
        </is>
      </c>
      <c r="B9" s="17" t="n">
        <v>0.45</v>
      </c>
      <c r="C9" s="17" t="n">
        <v>0.38</v>
      </c>
      <c r="D9" s="19">
        <f>C9/B9-1</f>
        <v>-0.15555555555555556</v>
      </c>
      <c r="E9" s="6" t="inlineStr">
        <is>
          <t>Localised harness.</t>
        </is>
      </c>
    </row>
    <row r="10">
      <c r="A10" t="inlineStr">
        <is>
          <t>Safety: 6 airbags, ESP, ADAS-L2, DMS camera</t>
        </is>
      </c>
      <c r="B10" s="17" t="n">
        <v>0.35</v>
      </c>
      <c r="C10" s="17" t="n">
        <v>0.3</v>
      </c>
      <c r="D10" s="19">
        <f>C10/B10-1</f>
        <v>-0.1428571428571428</v>
      </c>
      <c r="E10" s="6" t="inlineStr">
        <is>
          <t>Camera/radar costs fall with scale.</t>
        </is>
      </c>
    </row>
    <row r="11">
      <c r="A11" t="inlineStr">
        <is>
          <t>eAxle (motor + inverter + reducer), reduced rare-earth</t>
        </is>
      </c>
      <c r="B11" s="17" t="n">
        <v>0.7</v>
      </c>
      <c r="C11" s="17" t="n">
        <v>0.55</v>
      </c>
      <c r="D11" s="19">
        <f>C11/B11-1</f>
        <v>-0.2142857142857142</v>
      </c>
      <c r="E11" s="6" t="inlineStr">
        <is>
          <t>Largest localisation gain by 2035.</t>
        </is>
      </c>
    </row>
    <row r="12">
      <c r="A12" t="inlineStr">
        <is>
          <t>HV electronics (OBC, DC-DC, junction box)</t>
        </is>
      </c>
      <c r="B12" s="17" t="n">
        <v>0.4</v>
      </c>
      <c r="C12" s="17" t="n">
        <v>0.3</v>
      </c>
      <c r="D12" s="19">
        <f>C12/B12-1</f>
        <v>-0.2500000000000001</v>
      </c>
      <c r="E12" s="6" t="inlineStr">
        <is>
          <t>11 kW OBC, CCS2 100–120 kW.</t>
        </is>
      </c>
    </row>
    <row r="13">
      <c r="A13" t="inlineStr">
        <is>
          <t>Thermal: liquid-cooled pack, heat pump, roof rear AC</t>
        </is>
      </c>
      <c r="B13" s="17" t="n">
        <v>0.4</v>
      </c>
      <c r="C13" s="17" t="n">
        <v>0.34</v>
      </c>
      <c r="D13" s="19">
        <f>C13/B13-1</f>
        <v>-0.15000000000000002</v>
      </c>
      <c r="E13" s="6" t="inlineStr">
        <is>
          <t>'India Heat Pack'.</t>
        </is>
      </c>
    </row>
    <row r="14">
      <c r="A14" t="inlineStr">
        <is>
          <t>Telematics / FleetOS hardware</t>
        </is>
      </c>
      <c r="B14" s="17" t="n">
        <v>0.1</v>
      </c>
      <c r="C14" s="17" t="n">
        <v>0.07000000000000001</v>
      </c>
      <c r="D14" s="19">
        <f>C14/B14-1</f>
        <v>-0.29999999999999993</v>
      </c>
      <c r="E14" s="6" t="inlineStr">
        <is>
          <t>4G/5G TCU, OTA-capable.</t>
        </is>
      </c>
    </row>
    <row r="15">
      <c r="A15" t="inlineStr">
        <is>
          <t>Assembly, overhead, logistics</t>
        </is>
      </c>
      <c r="B15" s="17" t="n">
        <v>0.7</v>
      </c>
      <c r="C15" s="17" t="n">
        <v>0.62</v>
      </c>
      <c r="D15" s="19">
        <f>C15/B15-1</f>
        <v>-0.11428571428571421</v>
      </c>
      <c r="E15" s="6" t="inlineStr">
        <is>
          <t>Shared lines with HEARTECT-e platform.</t>
        </is>
      </c>
    </row>
    <row r="16">
      <c r="A16" t="inlineStr">
        <is>
          <t>Warranty provision</t>
        </is>
      </c>
      <c r="B16" s="17" t="n">
        <v>0.3</v>
      </c>
      <c r="C16" s="17" t="n">
        <v>0.25</v>
      </c>
      <c r="D16" s="19">
        <f>C16/B16-1</f>
        <v>-0.16666666666666663</v>
      </c>
      <c r="E16" s="6" t="inlineStr">
        <is>
          <t>Vehicle warranty (battery risk sits with BaaS).</t>
        </is>
      </c>
    </row>
    <row r="17">
      <c r="A17" t="inlineStr">
        <is>
          <t>R&amp;D / tooling amortisation</t>
        </is>
      </c>
      <c r="B17" s="17" t="n">
        <v>0.4</v>
      </c>
      <c r="C17" s="17" t="n">
        <v>0.38</v>
      </c>
      <c r="D17" s="19">
        <f>C17/B17-1</f>
        <v>-0.050000000000000044</v>
      </c>
      <c r="E17" s="6" t="inlineStr">
        <is>
          <t>Amortised over platform volume.</t>
        </is>
      </c>
    </row>
    <row r="18">
      <c r="A18" s="20" t="inlineStr">
        <is>
          <t>Ex-factory cost (total)</t>
        </is>
      </c>
      <c r="B18" s="4">
        <f>SUM(B5:B17)</f>
        <v>10.54</v>
      </c>
      <c r="C18" s="4">
        <f>SUM(C5:C17)</f>
        <v>8.96</v>
      </c>
      <c r="D18" s="19">
        <f>C18/B18-1</f>
        <v>-0.14990512333965833</v>
      </c>
      <c r="E18" s="6" t="inlineStr">
        <is>
          <t>Sum of lines.</t>
        </is>
      </c>
    </row>
    <row r="19">
      <c r="A19" s="10" t="inlineStr">
        <is>
          <t xml:space="preserve">  of which battery share</t>
        </is>
      </c>
      <c r="B19" s="21">
        <f>B5/B18</f>
        <v>0.36432637571157495</v>
      </c>
      <c r="C19" s="21">
        <f>C5/C18</f>
        <v>0.3482142857142857</v>
      </c>
      <c r="D19" s="19">
        <f>C19/B19-1</f>
        <v>-0.044224330357142905</v>
      </c>
      <c r="E19" s="6" t="inlineStr"/>
    </row>
    <row r="20">
      <c r="A20" s="10" t="inlineStr">
        <is>
          <t xml:space="preserve">  Non-battery cost</t>
        </is>
      </c>
      <c r="B20" s="18">
        <f>B18-B5</f>
        <v>6.699999999999999</v>
      </c>
      <c r="C20" s="18">
        <f>C18-C5</f>
        <v>5.840000000000001</v>
      </c>
      <c r="D20" s="19">
        <f>C20/B20-1</f>
        <v>-0.12835820895522365</v>
      </c>
      <c r="E20" s="6" t="inlineStr"/>
    </row>
    <row r="22">
      <c r="A22" s="11" t="inlineStr">
        <is>
          <t>Price build-up</t>
        </is>
      </c>
      <c r="B22" s="12" t="n"/>
      <c r="C22" s="12" t="n"/>
      <c r="D22" s="12" t="n"/>
      <c r="E22" s="12" t="n"/>
    </row>
    <row r="23">
      <c r="A23" s="10" t="inlineStr">
        <is>
          <t>× OEM margin</t>
        </is>
      </c>
      <c r="B23" s="21">
        <f>Inputs!$B$34</f>
        <v>0.08</v>
      </c>
      <c r="C23" s="21">
        <f>Inputs!$B$34</f>
        <v>0.08</v>
      </c>
      <c r="D23" s="19">
        <f>C23/B23-1</f>
        <v>0.0</v>
      </c>
      <c r="E23" s="6" t="inlineStr">
        <is>
          <t>Inputs</t>
        </is>
      </c>
    </row>
    <row r="24">
      <c r="A24" s="10" t="inlineStr">
        <is>
          <t>× Dealer margin</t>
        </is>
      </c>
      <c r="B24" s="21">
        <f>Inputs!$B$35</f>
        <v>0.04</v>
      </c>
      <c r="C24" s="21">
        <f>Inputs!$B$35</f>
        <v>0.04</v>
      </c>
      <c r="D24" s="19">
        <f>C24/B24-1</f>
        <v>0.0</v>
      </c>
      <c r="E24" s="6" t="inlineStr">
        <is>
          <t>Inputs</t>
        </is>
      </c>
    </row>
    <row r="25">
      <c r="A25" s="10" t="inlineStr">
        <is>
          <t>× GST on EVs</t>
        </is>
      </c>
      <c r="B25" s="21">
        <f>Inputs!$B$36</f>
        <v>0.05</v>
      </c>
      <c r="C25" s="21">
        <f>Inputs!$B$36</f>
        <v>0.05</v>
      </c>
      <c r="D25" s="19">
        <f>C25/B25-1</f>
        <v>0.0</v>
      </c>
      <c r="E25" s="6" t="inlineStr">
        <is>
          <t>Inputs</t>
        </is>
      </c>
    </row>
    <row r="26">
      <c r="A26" s="10" t="inlineStr">
        <is>
          <t>Price multiplier on cost</t>
        </is>
      </c>
      <c r="B26" s="22">
        <f>(1+Inputs!$B$34)*(1+Inputs!$B$35)*(1+Inputs!$B$36)</f>
        <v>1.1793600000000002</v>
      </c>
      <c r="C26" s="22">
        <f>(1+Inputs!$B$34)*(1+Inputs!$B$35)*(1+Inputs!$B$36)</f>
        <v>1.1793600000000002</v>
      </c>
      <c r="D26" s="19">
        <f>C26/B26-1</f>
        <v>0.0</v>
      </c>
      <c r="E26" s="6" t="inlineStr">
        <is>
          <t>1.08 × 1.04 × 1.05</t>
        </is>
      </c>
    </row>
    <row r="27">
      <c r="A27" s="20" t="inlineStr">
        <is>
          <t>Ex-showroom price, bought outright (₹ L)</t>
        </is>
      </c>
      <c r="B27" s="4">
        <f>B18*B26</f>
        <v>12.4304544</v>
      </c>
      <c r="C27" s="4">
        <f>C18*C26</f>
        <v>10.567065600000003</v>
      </c>
      <c r="D27" s="19">
        <f>C27/B27-1</f>
        <v>-0.14990512333965822</v>
      </c>
      <c r="E27" s="6" t="inlineStr">
        <is>
          <t>Slide 2: ₹12.4 L (2028) → ₹10.6 L (2035).</t>
        </is>
      </c>
    </row>
    <row r="28">
      <c r="A28" s="20" t="inlineStr">
        <is>
          <t>Fleet BaaS: vehicle-only price (₹ L)</t>
        </is>
      </c>
      <c r="B28" s="4">
        <f>B20*B26</f>
        <v>7.901712000000001</v>
      </c>
      <c r="C28" s="4">
        <f>C20*C26</f>
        <v>6.887462400000002</v>
      </c>
      <c r="D28" s="19">
        <f>C28/B28-1</f>
        <v>-0.12835820895522365</v>
      </c>
      <c r="E28" s="6" t="inlineStr">
        <is>
          <t>Battery excluded – owned by BaaS provider. Slide 2: ₹7.9 L → ₹6.9 L.</t>
        </is>
      </c>
    </row>
    <row r="29">
      <c r="A29" s="10" t="inlineStr">
        <is>
          <t>OEM transfer price of pack to BaaS provider (₹ L)</t>
        </is>
      </c>
      <c r="B29" s="18">
        <f>B5*(1+Inputs!$B$34)</f>
        <v>4.1472</v>
      </c>
      <c r="C29" s="18">
        <f>C5*(1+Inputs!$B$34)</f>
        <v>3.3696</v>
      </c>
      <c r="D29" s="19">
        <f>C29/B29-1</f>
        <v>-0.1874999999999999</v>
      </c>
      <c r="E29" s="6" t="inlineStr">
        <is>
          <t>Pack sold at cost + OEM margin (no dealer margin / GST in this model).</t>
        </is>
      </c>
    </row>
    <row r="30">
      <c r="A30" s="10" t="inlineStr">
        <is>
          <t>Pack cost in US$/kWh (check)</t>
        </is>
      </c>
      <c r="B30" s="23">
        <f>Inputs!$B$31/Inputs!$B$33</f>
        <v>84.21052631578948</v>
      </c>
      <c r="C30" s="23">
        <f>Inputs!$B$32/Inputs!$B$33</f>
        <v>68.42105263157895</v>
      </c>
      <c r="D30" s="19">
        <f>C30/B30-1</f>
        <v>-0.1875000000000001</v>
      </c>
      <c r="E30" s="6" t="inlineStr">
        <is>
          <t>BNEF 2025: China avg $84/kWh; LFP avg $81/kWh; global $108/kWh.</t>
        </is>
      </c>
    </row>
    <row r="32">
      <c r="A32" s="11" t="inlineStr">
        <is>
          <t>Benchmarks (for context)</t>
        </is>
      </c>
      <c r="B32" s="12" t="n"/>
      <c r="C32" s="12" t="n"/>
      <c r="D32" s="12" t="n"/>
      <c r="E32" s="12" t="n"/>
    </row>
    <row r="33">
      <c r="A33" t="inlineStr">
        <is>
          <t>Ertiga Tour M CNG ex-showroom</t>
        </is>
      </c>
      <c r="B33" s="24">
        <f>Inputs!$B$26</f>
        <v>10.745</v>
      </c>
      <c r="E33" s="6" t="inlineStr">
        <is>
          <t>Maruti post-GST price list (Autocar India).</t>
        </is>
      </c>
    </row>
    <row r="34">
      <c r="A34" t="inlineStr">
        <is>
          <t>Retail e VITARA – BaaS price / outright</t>
        </is>
      </c>
      <c r="B34" s="18" t="inlineStr">
        <is>
          <t>10.99 / 15.99</t>
        </is>
      </c>
      <c r="E34" s="6" t="inlineStr">
        <is>
          <t>Maruti Suzuki, Feb 2026 (Autocar India, Upstox).</t>
        </is>
      </c>
    </row>
    <row r="35">
      <c r="A35" t="inlineStr">
        <is>
          <t>Tour-e 2028 outright premium over Ertiga CNG</t>
        </is>
      </c>
      <c r="B35" s="18">
        <f>B27-Inputs!$B$26</f>
        <v>1.6854544000000011</v>
      </c>
      <c r="E35" s="6" t="inlineStr">
        <is>
          <t>Repaid by running-cost savings – see Fleet_Economics.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3A89E"/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Fleet Battery-as-a-Service: break-even rate</t>
        </is>
      </c>
    </row>
    <row r="2">
      <c r="A2" s="2" t="inlineStr">
        <is>
          <t>Provider buys the pack, finances it, keeps residual value and carries fade risk.</t>
        </is>
      </c>
    </row>
    <row r="4">
      <c r="A4" s="3" t="inlineStr">
        <is>
          <t>Step</t>
        </is>
      </c>
      <c r="B4" s="3" t="inlineStr">
        <is>
          <t>2028</t>
        </is>
      </c>
      <c r="C4" s="3" t="inlineStr">
        <is>
          <t>2035</t>
        </is>
      </c>
      <c r="D4" s="3" t="inlineStr">
        <is>
          <t>Formula / note</t>
        </is>
      </c>
    </row>
    <row r="5">
      <c r="A5" s="10" t="inlineStr">
        <is>
          <t>Pack price paid by provider (₹ L)</t>
        </is>
      </c>
      <c r="B5" s="18">
        <f>Cost_Price!$B$29</f>
        <v>4.1472</v>
      </c>
      <c r="C5" s="18">
        <f>Cost_Price!$C$29</f>
        <v>3.3696</v>
      </c>
      <c r="D5" s="6" t="inlineStr">
        <is>
          <t>From Cost_Price.</t>
        </is>
      </c>
    </row>
    <row r="6">
      <c r="A6" s="10" t="inlineStr">
        <is>
          <t>Annual capital recovery net of residual (₹ L/yr)</t>
        </is>
      </c>
      <c r="B6" s="18">
        <f>PMT(Inputs!$B$39,Inputs!$B$40,-B5,Inputs!$B$41*B5)</f>
        <v>0.9556298907146297</v>
      </c>
      <c r="C6" s="18">
        <f>PMT(Inputs!$B$39,Inputs!$B$40,-C5,Inputs!$B$41*C5)</f>
        <v>0.7764492862056366</v>
      </c>
      <c r="D6" s="6" t="inlineStr">
        <is>
          <t>PMT(11%, 5 yrs, pack, 25% residual as future value).</t>
        </is>
      </c>
    </row>
    <row r="7">
      <c r="A7" s="10" t="inlineStr">
        <is>
          <t>+ Risk reserve</t>
        </is>
      </c>
      <c r="B7" s="18">
        <f>B6*Inputs!$B$42</f>
        <v>0.09556298907146298</v>
      </c>
      <c r="C7" s="18">
        <f>C6*Inputs!$B$42</f>
        <v>0.07764492862056366</v>
      </c>
      <c r="D7" s="6" t="inlineStr">
        <is>
          <t>10% of capital recovery.</t>
        </is>
      </c>
    </row>
    <row r="8">
      <c r="A8" s="10" t="inlineStr">
        <is>
          <t>+ Provider margin</t>
        </is>
      </c>
      <c r="B8" s="18">
        <f>(B6+B7)*Inputs!$B$43</f>
        <v>0.0840954303828874</v>
      </c>
      <c r="C8" s="18">
        <f>(C6+C7)*Inputs!$B$43</f>
        <v>0.06832753718609602</v>
      </c>
      <c r="D8" s="6" t="inlineStr">
        <is>
          <t>8% on cost incl. reserve.</t>
        </is>
      </c>
    </row>
    <row r="9">
      <c r="A9" s="20" t="inlineStr">
        <is>
          <t>Annual revenue required (₹ L/yr)</t>
        </is>
      </c>
      <c r="B9" s="4">
        <f>B6+B7+B8</f>
        <v>1.13528831016898</v>
      </c>
      <c r="C9" s="4">
        <f>C6+C7+C8</f>
        <v>0.9224217520122964</v>
      </c>
      <c r="D9" s="6" t="inlineStr"/>
    </row>
    <row r="10">
      <c r="A10" s="20" t="inlineStr">
        <is>
          <t>Break-even at minimum contract km (₹/km)</t>
        </is>
      </c>
      <c r="B10" s="4">
        <f>B9*100000/Inputs!$B$44</f>
        <v>1.8921471836149666</v>
      </c>
      <c r="C10" s="4">
        <f>C9*100000/Inputs!$B$44</f>
        <v>1.5373695866871606</v>
      </c>
      <c r="D10" s="6" t="inlineStr">
        <is>
          <t>Slide 2: ₹1.89 (2028) / ₹1.54 (2035).</t>
        </is>
      </c>
    </row>
    <row r="11">
      <c r="A11" s="10" t="inlineStr">
        <is>
          <t>Break-even at fleet km (₹/km)</t>
        </is>
      </c>
      <c r="B11" s="18">
        <f>B9*100000/Inputs!$B$8</f>
        <v>1.419110387711225</v>
      </c>
      <c r="C11" s="18">
        <f>C9*100000/Inputs!$B$8</f>
        <v>1.1530271900153704</v>
      </c>
      <c r="D11" s="6" t="inlineStr">
        <is>
          <t>Slide 2: ₹1.42 / ₹1.15 – upside for the provider at 80k km.</t>
        </is>
      </c>
    </row>
    <row r="12">
      <c r="A12" s="20" t="inlineStr">
        <is>
          <t>Chosen fleet BaaS rate (₹/km)</t>
        </is>
      </c>
      <c r="B12" s="4">
        <f>Inputs!$B$45</f>
        <v>2.0</v>
      </c>
      <c r="C12" s="4">
        <f>Inputs!$B$46</f>
        <v>1.6</v>
      </c>
      <c r="D12" s="6" t="inlineStr">
        <is>
          <t>Rounded up above break-even.</t>
        </is>
      </c>
    </row>
    <row r="13">
      <c r="A13" s="10" t="inlineStr">
        <is>
          <t>Headroom over break-even at minimum km</t>
        </is>
      </c>
      <c r="B13" s="25">
        <f>B12/B10-1</f>
        <v>0.05700022562672924</v>
      </c>
      <c r="C13" s="25">
        <f>C12/C10-1</f>
        <v>0.040738683694010236</v>
      </c>
      <c r="D13" s="6" t="inlineStr">
        <is>
          <t>Must be ≥ 0.</t>
        </is>
      </c>
    </row>
    <row r="14">
      <c r="A14" s="10" t="inlineStr">
        <is>
          <t>Provider annual margin at fleet km after costs (₹ L/yr/car)</t>
        </is>
      </c>
      <c r="B14" s="18">
        <f>B12*Inputs!$B$8/100000-B6-B7</f>
        <v>0.5488071202139074</v>
      </c>
      <c r="C14" s="18">
        <f>C12*Inputs!$B$8/100000-C6-C7</f>
        <v>0.4259057851737998</v>
      </c>
      <c r="D14" s="6" t="inlineStr">
        <is>
          <t>Revenue at 80k km minus capital + reserve.</t>
        </is>
      </c>
    </row>
    <row r="16">
      <c r="A16" s="11" t="inlineStr">
        <is>
          <t>Why the fleet rate is half the retail e VITARA rate</t>
        </is>
      </c>
      <c r="B16" s="12" t="n"/>
      <c r="C16" s="12" t="n"/>
      <c r="D16" s="12" t="n"/>
    </row>
    <row r="17">
      <c r="A17" s="10" t="inlineStr">
        <is>
          <t>Retail e VITARA BaaS (₹/km)</t>
        </is>
      </c>
      <c r="B17" s="18">
        <f>Inputs!$B$47</f>
        <v>3.99</v>
      </c>
      <c r="C17" s="18" t="inlineStr"/>
      <c r="D17" s="6" t="inlineStr">
        <is>
          <t>Maruti Suzuki, Feb 2026.</t>
        </is>
      </c>
    </row>
    <row r="18">
      <c r="A18" s="10" t="inlineStr">
        <is>
          <t>Retail usage basis (km/yr)</t>
        </is>
      </c>
      <c r="B18" s="26">
        <f>Inputs!$B$48</f>
        <v>21900.0</v>
      </c>
      <c r="C18" s="26" t="inlineStr"/>
      <c r="D18" s="6" t="inlineStr">
        <is>
          <t>~60 km/day.</t>
        </is>
      </c>
    </row>
    <row r="19">
      <c r="A19" s="10" t="inlineStr">
        <is>
          <t>Fleet minimum km ÷ retail km</t>
        </is>
      </c>
      <c r="B19" s="27">
        <f>Inputs!$B$44/Inputs!$B$48</f>
        <v>2.73972602739726</v>
      </c>
      <c r="C19" s="27" t="inlineStr"/>
      <c r="D19" s="6" t="inlineStr">
        <is>
          <t>Same pack, ~2.7× the km → far lower ₹/km.</t>
        </is>
      </c>
    </row>
    <row r="20">
      <c r="A20" s="10" t="inlineStr">
        <is>
          <t>Retail rate spread over fleet km (₹/km)</t>
        </is>
      </c>
      <c r="B20" s="18">
        <f>Inputs!$B$47*Inputs!$B$48/Inputs!$B$44</f>
        <v>1.45635</v>
      </c>
      <c r="C20" s="18" t="inlineStr"/>
      <c r="D20" s="6" t="inlineStr">
        <is>
          <t>Pure scaling of the retail rate. The ₹2.0 fleet rate sits above this, so it is conservative for the provider.</t>
        </is>
      </c>
    </row>
    <row r="22">
      <c r="A22" s="11" t="inlineStr">
        <is>
          <t>Battery duty check</t>
        </is>
      </c>
      <c r="B22" s="12" t="n"/>
      <c r="C22" s="12" t="n"/>
      <c r="D22" s="12" t="n"/>
    </row>
    <row r="23">
      <c r="A23" s="10" t="inlineStr">
        <is>
          <t>Lifetime km at fleet duty (5 yrs)</t>
        </is>
      </c>
      <c r="B23" s="26">
        <f>Inputs!$B$8*Inputs!$B$6</f>
        <v>400000.0</v>
      </c>
      <c r="C23" s="26" t="inlineStr"/>
      <c r="D23" s="6" t="inlineStr">
        <is>
          <t>4 lakh km design life (slide 2).</t>
        </is>
      </c>
    </row>
    <row r="24">
      <c r="A24" s="10" t="inlineStr">
        <is>
          <t>Energy throughput at battery (kWh)</t>
        </is>
      </c>
      <c r="B24" s="26">
        <f>B23*Inputs!$B$19</f>
        <v>60000.0</v>
      </c>
      <c r="C24" s="26" t="inlineStr"/>
      <c r="D24" s="6" t="inlineStr"/>
    </row>
    <row r="25">
      <c r="A25" s="10" t="inlineStr">
        <is>
          <t>Equivalent full cycles (usable kWh)</t>
        </is>
      </c>
      <c r="B25" s="26">
        <f>B24/Inputs!$B$17</f>
        <v>1333.3333333333333</v>
      </c>
      <c r="C25" s="26" t="inlineStr"/>
      <c r="D25" s="6" t="inlineStr">
        <is>
          <t>≈1,330–1,450 equivalent full cycles over 5 years – well within LFP cycle life (automotive LFP cells are typically rated 3,000+ cycles).</t>
        </is>
      </c>
    </row>
    <row r="26">
      <c r="A26" s="10" t="inlineStr">
        <is>
          <t>Real-world range (km)</t>
        </is>
      </c>
      <c r="B26" s="28">
        <f>Inputs!$B$17/Inputs!$B$19</f>
        <v>300.0</v>
      </c>
      <c r="C26" s="28" t="inlineStr"/>
      <c r="D26" s="6" t="inlineStr">
        <is>
          <t>45 kWh ÷ 150 Wh/km.</t>
        </is>
      </c>
    </row>
    <row r="27">
      <c r="A27" s="10" t="inlineStr">
        <is>
          <t>Range at 70% SoH end-of-life (km)</t>
        </is>
      </c>
      <c r="B27" s="28">
        <f>Inputs!$B$17*0.7/Inputs!$B$19</f>
        <v>209.99999999999997</v>
      </c>
      <c r="C27" s="28" t="inlineStr"/>
      <c r="D27" s="6" t="inlineStr">
        <is>
          <t>Still covers a 200 km owner-driver day.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13A89E"/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70" customWidth="1" min="5" max="5"/>
  </cols>
  <sheetData>
    <row r="1">
      <c r="A1" s="1" t="inlineStr">
        <is>
          <t>5-year TCO per km – Tour-e vs Ertiga Tour M CNG (2028 launch prices)</t>
        </is>
      </c>
    </row>
    <row r="2">
      <c r="A2" s="2" t="inlineStr">
        <is>
          <t>Capital = annualised loan cost net of residual (PMT) + insurance. Driver wage excluded. 2026 ₹.</t>
        </is>
      </c>
    </row>
    <row r="4">
      <c r="A4" t="inlineStr">
        <is>
          <t>Owner-driver: annual km =</t>
        </is>
      </c>
      <c r="B4" s="29">
        <f>Inputs!$B$7</f>
        <v>60000.0</v>
      </c>
    </row>
    <row r="5">
      <c r="A5" s="3" t="inlineStr">
        <is>
          <t>OWNER-DRIVER @ 60k km/yr</t>
        </is>
      </c>
      <c r="B5" s="3" t="inlineStr">
        <is>
          <t>Ertiga CNG</t>
        </is>
      </c>
      <c r="C5" s="3" t="inlineStr">
        <is>
          <t>Tour-e + BaaS</t>
        </is>
      </c>
      <c r="D5" s="3" t="inlineStr">
        <is>
          <t>Tour-e outright</t>
        </is>
      </c>
      <c r="E5" s="3" t="inlineStr">
        <is>
          <t>How it is calculated</t>
        </is>
      </c>
    </row>
    <row r="6">
      <c r="A6" t="inlineStr">
        <is>
          <t>Energy (₹/km)</t>
        </is>
      </c>
      <c r="B6" s="18">
        <f>ROUND(Inputs!$B$27/Inputs!$B$28,2)</f>
        <v>4.25</v>
      </c>
      <c r="C6" s="18">
        <f>ROUND(Inputs!$B$19/Inputs!$B$20*(Inputs!$B$23*Inputs!$B$21+(1-Inputs!$B$23)*Inputs!$B$22),2)</f>
        <v>1.87</v>
      </c>
      <c r="D6" s="18">
        <f>ROUND(Inputs!$B$19/Inputs!$B$20*(Inputs!$B$23*Inputs!$B$21+(1-Inputs!$B$23)*Inputs!$B$22),2)</f>
        <v>1.87</v>
      </c>
      <c r="E6" s="6" t="inlineStr">
        <is>
          <t>CNG: ₹/kg ÷ km/kg. EV: kWh/km ÷ charging eff. × blended tariff (80% depot ₹9, 20% DC ₹20 = ₹11.2).</t>
        </is>
      </c>
    </row>
    <row r="7">
      <c r="A7" t="inlineStr">
        <is>
          <t>Maintenance &amp; tyres (₹/km)</t>
        </is>
      </c>
      <c r="B7" s="18">
        <f>Inputs!$B$29</f>
        <v>0.95</v>
      </c>
      <c r="C7" s="18">
        <f>Inputs!$B$24</f>
        <v>0.55</v>
      </c>
      <c r="D7" s="18">
        <f>Inputs!$B$24</f>
        <v>0.55</v>
      </c>
      <c r="E7" s="6" t="inlineStr">
        <is>
          <t>Inputs.</t>
        </is>
      </c>
    </row>
    <row r="8">
      <c r="A8" t="inlineStr">
        <is>
          <t>Battery subscription (₹/km)</t>
        </is>
      </c>
      <c r="B8" s="18">
        <f>0</f>
        <v>0.0</v>
      </c>
      <c r="C8" s="18">
        <f>Inputs!$B$45</f>
        <v>2.0</v>
      </c>
      <c r="D8" s="18">
        <f>0</f>
        <v>0.0</v>
      </c>
      <c r="E8" s="6" t="inlineStr">
        <is>
          <t>Fleet BaaS rate, 2028.</t>
        </is>
      </c>
    </row>
    <row r="9">
      <c r="A9" t="inlineStr">
        <is>
          <t>Upfront price (₹ lakh)</t>
        </is>
      </c>
      <c r="B9" s="24">
        <f>Inputs!$B$26</f>
        <v>10.745</v>
      </c>
      <c r="C9" s="24">
        <f>Cost_Price!$B$28</f>
        <v>7.901712000000001</v>
      </c>
      <c r="D9" s="24">
        <f>Cost_Price!$B$27</f>
        <v>12.4304544</v>
      </c>
      <c r="E9" s="6" t="inlineStr">
        <is>
          <t>Ex-showroom; road-tax/permit waivers for EVs excluded (conservative).</t>
        </is>
      </c>
    </row>
    <row r="10">
      <c r="A10" t="inlineStr">
        <is>
          <t>Residual at year 5</t>
        </is>
      </c>
      <c r="B10" s="21">
        <f>Inputs!$B$13</f>
        <v>0.15</v>
      </c>
      <c r="C10" s="21">
        <f>Inputs!$B$15</f>
        <v>0.2</v>
      </c>
      <c r="D10" s="21">
        <f>Inputs!$B$14</f>
        <v>0.15</v>
      </c>
      <c r="E10" s="6" t="inlineStr">
        <is>
          <t>Inputs.</t>
        </is>
      </c>
    </row>
    <row r="11">
      <c r="A11" t="inlineStr">
        <is>
          <t>Capital: annual loan cost net of residual (₹ L/yr)</t>
        </is>
      </c>
      <c r="B11" s="18">
        <f>PMT(Inputs!$B$11,Inputs!$B$6,-B9,B10*B9)</f>
        <v>2.6094143431991372</v>
      </c>
      <c r="C11" s="18">
        <f>PMT(Inputs!$B$11,Inputs!$B$6,-C9,C10*C9)</f>
        <v>1.854851006373744</v>
      </c>
      <c r="D11" s="18">
        <f>PMT(Inputs!$B$11,Inputs!$B$6,-D9,D10*D9)</f>
        <v>3.0187255471235765</v>
      </c>
      <c r="E11" s="6" t="inlineStr">
        <is>
          <t>PMT(10.5%, 5, price, residual).</t>
        </is>
      </c>
    </row>
    <row r="12">
      <c r="A12" t="inlineStr">
        <is>
          <t>Insurance (₹ L/yr)</t>
        </is>
      </c>
      <c r="B12" s="18">
        <f>Inputs!$B$12*B9</f>
        <v>0.32234999999999997</v>
      </c>
      <c r="C12" s="18">
        <f>Inputs!$B$12*C9</f>
        <v>0.23705136000000002</v>
      </c>
      <c r="D12" s="18">
        <f>Inputs!$B$12*D9</f>
        <v>0.372913632</v>
      </c>
      <c r="E12" s="6" t="inlineStr">
        <is>
          <t>3% of ex-showroom.</t>
        </is>
      </c>
    </row>
    <row r="13">
      <c r="A13" t="inlineStr">
        <is>
          <t>Capital &amp; insurance (₹/km)</t>
        </is>
      </c>
      <c r="B13" s="18">
        <f>ROUND((B11+B12)*100000/Inputs!$B$7,2)</f>
        <v>4.89</v>
      </c>
      <c r="C13" s="18">
        <f>ROUND((C11+C12)*100000/Inputs!$B$7,2)</f>
        <v>3.49</v>
      </c>
      <c r="D13" s="18">
        <f>ROUND((D11+D12)*100000/Inputs!$B$7,2)</f>
        <v>5.65</v>
      </c>
      <c r="E13" s="6" t="inlineStr">
        <is>
          <t>(Capital + insurance) × 1e5 ÷ annual km. Each ₹/km line is shown to the paisa.</t>
        </is>
      </c>
    </row>
    <row r="14">
      <c r="A14" s="20" t="inlineStr">
        <is>
          <t>TOTAL COST PER KM (₹/km)</t>
        </is>
      </c>
      <c r="B14" s="4">
        <f>B6+B7+B8+B13</f>
        <v>10.09</v>
      </c>
      <c r="C14" s="4">
        <f>C6+C7+C8+C13</f>
        <v>7.91</v>
      </c>
      <c r="D14" s="4">
        <f>D6+D7+D8+D13</f>
        <v>8.07</v>
      </c>
      <c r="E14" s="6" t="inlineStr">
        <is>
          <t>Energy + maintenance + battery + capital &amp; insurance.</t>
        </is>
      </c>
    </row>
    <row r="15">
      <c r="A15" t="inlineStr">
        <is>
          <t>Annual cost (₹ lakh/yr)</t>
        </is>
      </c>
      <c r="B15" s="18">
        <f>B14*Inputs!$B$7/100000</f>
        <v>6.054</v>
      </c>
      <c r="C15" s="18">
        <f>C14*Inputs!$B$7/100000</f>
        <v>4.746</v>
      </c>
      <c r="D15" s="18">
        <f>D14*Inputs!$B$7/100000</f>
        <v>4.842</v>
      </c>
      <c r="E15" s="6" t="inlineStr">
        <is>
          <t>₹/km × annual km.</t>
        </is>
      </c>
    </row>
    <row r="16">
      <c r="A16" t="inlineStr">
        <is>
          <t>5-year cost (₹ lakh)</t>
        </is>
      </c>
      <c r="B16" s="18">
        <f>B15*Inputs!$B$6</f>
        <v>30.270000000000003</v>
      </c>
      <c r="C16" s="18">
        <f>C15*Inputs!$B$6</f>
        <v>23.730000000000004</v>
      </c>
      <c r="D16" s="18">
        <f>D15*Inputs!$B$6</f>
        <v>24.209999999999997</v>
      </c>
      <c r="E16" s="6" t="inlineStr">
        <is>
          <t>Annual × 5 (undiscounted cash view).</t>
        </is>
      </c>
    </row>
    <row r="17">
      <c r="A17" t="inlineStr">
        <is>
          <t>Saving vs CNG (₹/km)</t>
        </is>
      </c>
      <c r="B17" s="18">
        <f>$B14-B14</f>
        <v>0.0</v>
      </c>
      <c r="C17" s="18">
        <f>$B14-C14</f>
        <v>2.1799999999999997</v>
      </c>
      <c r="D17" s="18">
        <f>$B14-D14</f>
        <v>2.0199999999999996</v>
      </c>
      <c r="E17" s="6" t="inlineStr"/>
    </row>
    <row r="18">
      <c r="A18" t="inlineStr">
        <is>
          <t>Saving vs CNG (₹ lakh/yr)</t>
        </is>
      </c>
      <c r="B18" s="18">
        <f>B17*Inputs!$B$7/100000</f>
        <v>0.0</v>
      </c>
      <c r="C18" s="18">
        <f>C17*Inputs!$B$7/100000</f>
        <v>1.3079999999999998</v>
      </c>
      <c r="D18" s="18">
        <f>D17*Inputs!$B$7/100000</f>
        <v>1.2119999999999997</v>
      </c>
      <c r="E18" s="6" t="inlineStr"/>
    </row>
    <row r="20">
      <c r="A20" t="inlineStr">
        <is>
          <t>Fleet: annual km =</t>
        </is>
      </c>
      <c r="B20" s="29">
        <f>Inputs!$B$8</f>
        <v>80000.0</v>
      </c>
    </row>
    <row r="21">
      <c r="A21" s="3" t="inlineStr">
        <is>
          <t>FLEET @ 80k km/yr</t>
        </is>
      </c>
      <c r="B21" s="3" t="inlineStr">
        <is>
          <t>Ertiga CNG</t>
        </is>
      </c>
      <c r="C21" s="3" t="inlineStr">
        <is>
          <t>Tour-e + BaaS</t>
        </is>
      </c>
      <c r="D21" s="3" t="inlineStr">
        <is>
          <t>Tour-e outright</t>
        </is>
      </c>
      <c r="E21" s="3" t="inlineStr">
        <is>
          <t>How it is calculated</t>
        </is>
      </c>
    </row>
    <row r="22">
      <c r="A22" t="inlineStr">
        <is>
          <t>Energy (₹/km)</t>
        </is>
      </c>
      <c r="B22" s="18">
        <f>ROUND(Inputs!$B$27/Inputs!$B$28,2)</f>
        <v>4.25</v>
      </c>
      <c r="C22" s="18">
        <f>ROUND(Inputs!$B$19/Inputs!$B$20*(Inputs!$B$23*Inputs!$B$21+(1-Inputs!$B$23)*Inputs!$B$22),2)</f>
        <v>1.87</v>
      </c>
      <c r="D22" s="18">
        <f>ROUND(Inputs!$B$19/Inputs!$B$20*(Inputs!$B$23*Inputs!$B$21+(1-Inputs!$B$23)*Inputs!$B$22),2)</f>
        <v>1.87</v>
      </c>
      <c r="E22" s="6" t="inlineStr">
        <is>
          <t>CNG: ₹/kg ÷ km/kg. EV: kWh/km ÷ charging eff. × blended tariff (80% depot ₹9, 20% DC ₹20 = ₹11.2).</t>
        </is>
      </c>
    </row>
    <row r="23">
      <c r="A23" t="inlineStr">
        <is>
          <t>Maintenance &amp; tyres (₹/km)</t>
        </is>
      </c>
      <c r="B23" s="18">
        <f>Inputs!$B$29</f>
        <v>0.95</v>
      </c>
      <c r="C23" s="18">
        <f>Inputs!$B$24</f>
        <v>0.55</v>
      </c>
      <c r="D23" s="18">
        <f>Inputs!$B$24</f>
        <v>0.55</v>
      </c>
      <c r="E23" s="6" t="inlineStr">
        <is>
          <t>Inputs.</t>
        </is>
      </c>
    </row>
    <row r="24">
      <c r="A24" t="inlineStr">
        <is>
          <t>Battery subscription (₹/km)</t>
        </is>
      </c>
      <c r="B24" s="18">
        <f>0</f>
        <v>0.0</v>
      </c>
      <c r="C24" s="18">
        <f>Inputs!$B$45</f>
        <v>2.0</v>
      </c>
      <c r="D24" s="18">
        <f>0</f>
        <v>0.0</v>
      </c>
      <c r="E24" s="6" t="inlineStr">
        <is>
          <t>Fleet BaaS rate, 2028.</t>
        </is>
      </c>
    </row>
    <row r="25">
      <c r="A25" t="inlineStr">
        <is>
          <t>Upfront price (₹ lakh)</t>
        </is>
      </c>
      <c r="B25" s="24">
        <f>Inputs!$B$26</f>
        <v>10.745</v>
      </c>
      <c r="C25" s="24">
        <f>Cost_Price!$B$28</f>
        <v>7.901712000000001</v>
      </c>
      <c r="D25" s="24">
        <f>Cost_Price!$B$27</f>
        <v>12.4304544</v>
      </c>
      <c r="E25" s="6" t="inlineStr">
        <is>
          <t>Ex-showroom; road-tax/permit waivers for EVs excluded (conservative).</t>
        </is>
      </c>
    </row>
    <row r="26">
      <c r="A26" t="inlineStr">
        <is>
          <t>Residual at year 5</t>
        </is>
      </c>
      <c r="B26" s="21">
        <f>Inputs!$B$13</f>
        <v>0.15</v>
      </c>
      <c r="C26" s="21">
        <f>Inputs!$B$15</f>
        <v>0.2</v>
      </c>
      <c r="D26" s="21">
        <f>Inputs!$B$14</f>
        <v>0.15</v>
      </c>
      <c r="E26" s="6" t="inlineStr">
        <is>
          <t>Inputs.</t>
        </is>
      </c>
    </row>
    <row r="27">
      <c r="A27" t="inlineStr">
        <is>
          <t>Capital: annual loan cost net of residual (₹ L/yr)</t>
        </is>
      </c>
      <c r="B27" s="18">
        <f>PMT(Inputs!$B$11,Inputs!$B$6,-B25,B26*B25)</f>
        <v>2.6094143431991372</v>
      </c>
      <c r="C27" s="18">
        <f>PMT(Inputs!$B$11,Inputs!$B$6,-C25,C26*C25)</f>
        <v>1.854851006373744</v>
      </c>
      <c r="D27" s="18">
        <f>PMT(Inputs!$B$11,Inputs!$B$6,-D25,D26*D25)</f>
        <v>3.0187255471235765</v>
      </c>
      <c r="E27" s="6" t="inlineStr">
        <is>
          <t>PMT(10.5%, 5, price, residual).</t>
        </is>
      </c>
    </row>
    <row r="28">
      <c r="A28" t="inlineStr">
        <is>
          <t>Insurance (₹ L/yr)</t>
        </is>
      </c>
      <c r="B28" s="18">
        <f>Inputs!$B$12*B25</f>
        <v>0.32234999999999997</v>
      </c>
      <c r="C28" s="18">
        <f>Inputs!$B$12*C25</f>
        <v>0.23705136000000002</v>
      </c>
      <c r="D28" s="18">
        <f>Inputs!$B$12*D25</f>
        <v>0.372913632</v>
      </c>
      <c r="E28" s="6" t="inlineStr">
        <is>
          <t>3% of ex-showroom.</t>
        </is>
      </c>
    </row>
    <row r="29">
      <c r="A29" t="inlineStr">
        <is>
          <t>Capital &amp; insurance (₹/km)</t>
        </is>
      </c>
      <c r="B29" s="18">
        <f>ROUND((B27+B28)*100000/Inputs!$B$8,2)</f>
        <v>3.66</v>
      </c>
      <c r="C29" s="18">
        <f>ROUND((C27+C28)*100000/Inputs!$B$8,2)</f>
        <v>2.61</v>
      </c>
      <c r="D29" s="18">
        <f>ROUND((D27+D28)*100000/Inputs!$B$8,2)</f>
        <v>4.24</v>
      </c>
      <c r="E29" s="6" t="inlineStr">
        <is>
          <t>(Capital + insurance) × 1e5 ÷ annual km. Each ₹/km line is shown to the paisa.</t>
        </is>
      </c>
    </row>
    <row r="30">
      <c r="A30" s="20" t="inlineStr">
        <is>
          <t>TOTAL COST PER KM (₹/km)</t>
        </is>
      </c>
      <c r="B30" s="4">
        <f>B22+B23+B24+B29</f>
        <v>8.86</v>
      </c>
      <c r="C30" s="4">
        <f>C22+C23+C24+C29</f>
        <v>7.029999999999999</v>
      </c>
      <c r="D30" s="4">
        <f>D22+D23+D24+D29</f>
        <v>6.66</v>
      </c>
      <c r="E30" s="6" t="inlineStr">
        <is>
          <t>Energy + maintenance + battery + capital &amp; insurance.</t>
        </is>
      </c>
    </row>
    <row r="31">
      <c r="A31" t="inlineStr">
        <is>
          <t>Annual cost (₹ lakh/yr)</t>
        </is>
      </c>
      <c r="B31" s="18">
        <f>B30*Inputs!$B$8/100000</f>
        <v>7.088</v>
      </c>
      <c r="C31" s="18">
        <f>C30*Inputs!$B$8/100000</f>
        <v>5.624</v>
      </c>
      <c r="D31" s="18">
        <f>D30*Inputs!$B$8/100000</f>
        <v>5.328</v>
      </c>
      <c r="E31" s="6" t="inlineStr">
        <is>
          <t>₹/km × annual km.</t>
        </is>
      </c>
    </row>
    <row r="32">
      <c r="A32" t="inlineStr">
        <is>
          <t>5-year cost (₹ lakh)</t>
        </is>
      </c>
      <c r="B32" s="18">
        <f>B31*Inputs!$B$6</f>
        <v>35.44</v>
      </c>
      <c r="C32" s="18">
        <f>C31*Inputs!$B$6</f>
        <v>28.119999999999997</v>
      </c>
      <c r="D32" s="18">
        <f>D31*Inputs!$B$6</f>
        <v>26.64</v>
      </c>
      <c r="E32" s="6" t="inlineStr">
        <is>
          <t>Annual × 5 (undiscounted cash view).</t>
        </is>
      </c>
    </row>
    <row r="33">
      <c r="A33" t="inlineStr">
        <is>
          <t>Saving vs CNG (₹/km)</t>
        </is>
      </c>
      <c r="B33" s="18">
        <f>$B30-B30</f>
        <v>0.0</v>
      </c>
      <c r="C33" s="18">
        <f>$B30-C30</f>
        <v>1.83</v>
      </c>
      <c r="D33" s="18">
        <f>$B30-D30</f>
        <v>2.1999999999999993</v>
      </c>
      <c r="E33" s="6" t="inlineStr"/>
    </row>
    <row r="34">
      <c r="A34" t="inlineStr">
        <is>
          <t>Saving vs CNG (₹ lakh/yr)</t>
        </is>
      </c>
      <c r="B34" s="18">
        <f>B33*Inputs!$B$8/100000</f>
        <v>0.0</v>
      </c>
      <c r="C34" s="18">
        <f>C33*Inputs!$B$8/100000</f>
        <v>1.464</v>
      </c>
      <c r="D34" s="18">
        <f>D33*Inputs!$B$8/100000</f>
        <v>1.7599999999999993</v>
      </c>
      <c r="E34" s="6" t="inlineStr"/>
    </row>
    <row r="37">
      <c r="A37" s="9" t="inlineStr">
        <is>
          <t>Ties to the 2-slide deck</t>
        </is>
      </c>
    </row>
    <row r="38">
      <c r="A38" s="6" t="inlineStr">
        <is>
          <t>• Tour-e + BaaS: energy 1.87 + maintenance 0.55 + battery 2.00 + capital &amp; insurance 3.49 = ₹7.91/km.</t>
        </is>
      </c>
    </row>
    <row r="39">
      <c r="A39" s="6" t="inlineStr">
        <is>
          <t>• Ertiga Tour M CNG: energy 4.25 + maintenance 0.95 + capital &amp; insurance 4.89 = ₹10.09/km. Tour-e bought outright: ₹8.07/km.</t>
        </is>
      </c>
    </row>
    <row r="40">
      <c r="A40" s="6" t="inlineStr">
        <is>
          <t>• Owner-driver uplift = (10.09 − 7.91) × 5,000 km = ₹10.9k per month.</t>
        </is>
      </c>
    </row>
  </sheetData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3A89E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Owner-driver economics (monthly)</t>
        </is>
      </c>
    </row>
    <row r="2">
      <c r="A2" s="2" t="inlineStr">
        <is>
          <t>Uplift = CNG ₹/km − Tour-e ₹/km × monthly km. It does not depend on the fare assumption.</t>
        </is>
      </c>
    </row>
    <row r="4">
      <c r="A4" s="3" t="inlineStr">
        <is>
          <t>Item</t>
        </is>
      </c>
      <c r="B4" s="3" t="inlineStr">
        <is>
          <t>Ertiga CNG</t>
        </is>
      </c>
      <c r="C4" s="3" t="inlineStr">
        <is>
          <t>Tour-e + BaaS</t>
        </is>
      </c>
      <c r="D4" s="3" t="inlineStr">
        <is>
          <t>Tour-e outright</t>
        </is>
      </c>
      <c r="E4" s="3" t="inlineStr">
        <is>
          <t>Note</t>
        </is>
      </c>
    </row>
    <row r="5">
      <c r="A5" t="inlineStr">
        <is>
          <t>Monthly km</t>
        </is>
      </c>
      <c r="B5" s="26">
        <f>Inputs!$B$7/12</f>
        <v>5000.0</v>
      </c>
      <c r="C5" s="26">
        <f>Inputs!$B$7/12</f>
        <v>5000.0</v>
      </c>
      <c r="D5" s="26">
        <f>Inputs!$B$7/12</f>
        <v>5000.0</v>
      </c>
      <c r="E5" s="6" t="inlineStr">
        <is>
          <t>60,000 ÷ 12 = 5,000 km.</t>
        </is>
      </c>
    </row>
    <row r="6">
      <c r="A6" t="inlineStr">
        <is>
          <t>Average daily km</t>
        </is>
      </c>
      <c r="B6" s="28">
        <f>Inputs!$B$7/Inputs!$B$9</f>
        <v>200.0</v>
      </c>
      <c r="C6" s="28">
        <f>Inputs!$B$7/Inputs!$B$9</f>
        <v>200.0</v>
      </c>
      <c r="D6" s="28">
        <f>Inputs!$B$7/Inputs!$B$9</f>
        <v>200.0</v>
      </c>
      <c r="E6" s="6" t="inlineStr">
        <is>
          <t>vs ~300 km real range → one overnight charge per day.</t>
        </is>
      </c>
    </row>
    <row r="7">
      <c r="A7" t="inlineStr">
        <is>
          <t>Vehicle cost per km (₹/km)</t>
        </is>
      </c>
      <c r="B7" s="18">
        <f>TCO!B14</f>
        <v>10.09</v>
      </c>
      <c r="C7" s="18">
        <f>TCO!C14</f>
        <v>7.91</v>
      </c>
      <c r="D7" s="18">
        <f>TCO!D14</f>
        <v>8.07</v>
      </c>
      <c r="E7" s="6" t="inlineStr">
        <is>
          <t>From TCO sheet.</t>
        </is>
      </c>
    </row>
    <row r="8">
      <c r="A8" t="inlineStr">
        <is>
          <t>Monthly vehicle cost (₹)</t>
        </is>
      </c>
      <c r="B8" s="26">
        <f>B7*B5</f>
        <v>50450.0</v>
      </c>
      <c r="C8" s="26">
        <f>C7*C5</f>
        <v>39550.0</v>
      </c>
      <c r="D8" s="26">
        <f>D7*D5</f>
        <v>40350.0</v>
      </c>
      <c r="E8" s="6" t="inlineStr"/>
    </row>
    <row r="9">
      <c r="A9" t="inlineStr">
        <is>
          <t>Net fare earnings (₹/month, illustrative)</t>
        </is>
      </c>
      <c r="B9" s="26">
        <f>Inputs!$B$50*Inputs!$B$7/12</f>
        <v>67500.0</v>
      </c>
      <c r="C9" s="26">
        <f>Inputs!$B$50*Inputs!$B$7/12</f>
        <v>67500.0</v>
      </c>
      <c r="D9" s="26">
        <f>Inputs!$B$50*Inputs!$B$7/12</f>
        <v>67500.0</v>
      </c>
      <c r="E9" s="6" t="inlineStr">
        <is>
          <t>₹13.5/km net of commission × 5,000 km.</t>
        </is>
      </c>
    </row>
    <row r="10">
      <c r="A10" t="inlineStr">
        <is>
          <t>Driver take-home after vehicle costs (₹/month)</t>
        </is>
      </c>
      <c r="B10" s="26">
        <f>B9-B8</f>
        <v>17050.0</v>
      </c>
      <c r="C10" s="26">
        <f>C9-C8</f>
        <v>27950.0</v>
      </c>
      <c r="D10" s="26">
        <f>D9-D8</f>
        <v>27150.0</v>
      </c>
      <c r="E10" s="6" t="inlineStr">
        <is>
          <t>Illustrative – depends on fare level.</t>
        </is>
      </c>
    </row>
    <row r="11">
      <c r="A11" t="inlineStr">
        <is>
          <t>Uplift vs CNG (₹/month)</t>
        </is>
      </c>
      <c r="B11" s="7">
        <f>$B8-B8</f>
        <v>0.0</v>
      </c>
      <c r="C11" s="7">
        <f>$B8-C8</f>
        <v>10900.0</v>
      </c>
      <c r="D11" s="7">
        <f>$B8-D8</f>
        <v>10100.0</v>
      </c>
      <c r="E11" s="6" t="inlineStr">
        <is>
          <t>Slide 2: +₹10.9k/month. Independent of fares.</t>
        </is>
      </c>
    </row>
    <row r="12">
      <c r="A12" t="inlineStr">
        <is>
          <t>Uplift vs CNG (₹/year)</t>
        </is>
      </c>
      <c r="B12" s="26">
        <f>B11*12</f>
        <v>0.0</v>
      </c>
      <c r="C12" s="26">
        <f>C11*12</f>
        <v>130800.0</v>
      </c>
      <c r="D12" s="26">
        <f>D11*12</f>
        <v>121200.0</v>
      </c>
      <c r="E12" s="6" t="inlineStr"/>
    </row>
    <row r="13">
      <c r="A13" t="inlineStr">
        <is>
          <t>Take-home change vs CNG</t>
        </is>
      </c>
      <c r="B13" s="21">
        <f>B10/$B10-1</f>
        <v>0.0</v>
      </c>
      <c r="C13" s="21">
        <f>C10/$B10-1</f>
        <v>0.6392961876832846</v>
      </c>
      <c r="D13" s="21">
        <f>D10/$B10-1</f>
        <v>0.5923753665689149</v>
      </c>
      <c r="E13" s="6" t="inlineStr">
        <is>
          <t>Illustrative.</t>
        </is>
      </c>
    </row>
    <row r="14">
      <c r="A14" t="inlineStr">
        <is>
          <t>Upfront outlay difference vs CNG (₹ lakh)</t>
        </is>
      </c>
      <c r="B14" s="18">
        <f>TCO!B9-TCO!$B9</f>
        <v>0.0</v>
      </c>
      <c r="C14" s="18">
        <f>TCO!C9-TCO!$B9</f>
        <v>-2.8432879999999985</v>
      </c>
      <c r="D14" s="18">
        <f>TCO!D9-TCO!$B9</f>
        <v>1.6854544000000011</v>
      </c>
      <c r="E14" s="6" t="inlineStr">
        <is>
          <t>BaaS lowers upfront price below the CNG car.</t>
        </is>
      </c>
    </row>
    <row r="16">
      <c r="A16" s="9" t="inlineStr">
        <is>
          <t>Uptime check</t>
        </is>
      </c>
    </row>
    <row r="17">
      <c r="A17" t="inlineStr">
        <is>
          <t>Real-world range (km)</t>
        </is>
      </c>
      <c r="B17" s="28">
        <f>BaaS!$B$26</f>
        <v>300.0</v>
      </c>
    </row>
    <row r="18">
      <c r="A18" t="inlineStr">
        <is>
          <t>Owner-driver daily km</t>
        </is>
      </c>
      <c r="B18" s="28">
        <f>B6</f>
        <v>200.0</v>
      </c>
    </row>
    <row r="19">
      <c r="A19" t="inlineStr">
        <is>
          <t>Range buffer at end of owner-driver day (km)</t>
        </is>
      </c>
      <c r="B19" s="28">
        <f>B17-B18</f>
        <v>100.0</v>
      </c>
    </row>
    <row r="20">
      <c r="A20" t="inlineStr">
        <is>
          <t>Fleet daily km</t>
        </is>
      </c>
      <c r="B20" s="28">
        <f>Inputs!$B$8/Inputs!$B$10</f>
        <v>250.0</v>
      </c>
    </row>
    <row r="21">
      <c r="A21" t="inlineStr">
        <is>
          <t>Range buffer at end of fleet day (km)</t>
        </is>
      </c>
      <c r="B21" s="28">
        <f>B17-B20</f>
        <v>50.0</v>
      </c>
    </row>
    <row r="22">
      <c r="A22" s="6" t="inlineStr">
        <is>
          <t>A 200–250 km duty day fits on one overnight depot charge; a ≤30 min DC top-up (10–80%) covers any extra shift.</t>
        </is>
      </c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13A89E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Fleet operator economics (per car and per 100-car fleet, 80k km/yr)</t>
        </is>
      </c>
    </row>
    <row r="2">
      <c r="A2" s="2" t="inlineStr"/>
    </row>
    <row r="4">
      <c r="A4" s="3" t="inlineStr">
        <is>
          <t>Item</t>
        </is>
      </c>
      <c r="B4" s="3" t="inlineStr">
        <is>
          <t>Ertiga CNG</t>
        </is>
      </c>
      <c r="C4" s="3" t="inlineStr">
        <is>
          <t>Tour-e + BaaS</t>
        </is>
      </c>
      <c r="D4" s="3" t="inlineStr">
        <is>
          <t>Tour-e outright</t>
        </is>
      </c>
      <c r="E4" s="3" t="inlineStr">
        <is>
          <t>Note</t>
        </is>
      </c>
    </row>
    <row r="5">
      <c r="A5" t="inlineStr">
        <is>
          <t>Cost per km (₹/km)</t>
        </is>
      </c>
      <c r="B5" s="18">
        <f>TCO!B30</f>
        <v>8.86</v>
      </c>
      <c r="C5" s="18">
        <f>TCO!C30</f>
        <v>7.029999999999999</v>
      </c>
      <c r="D5" s="18">
        <f>TCO!D30</f>
        <v>6.66</v>
      </c>
      <c r="E5" s="6" t="inlineStr">
        <is>
          <t>TCO sheet, fleet block.</t>
        </is>
      </c>
    </row>
    <row r="6">
      <c r="A6" t="inlineStr">
        <is>
          <t>Annual cost per car (₹ lakh)</t>
        </is>
      </c>
      <c r="B6" s="18">
        <f>TCO!B31</f>
        <v>7.088</v>
      </c>
      <c r="C6" s="18">
        <f>TCO!C31</f>
        <v>5.624</v>
      </c>
      <c r="D6" s="18">
        <f>TCO!D31</f>
        <v>5.328</v>
      </c>
      <c r="E6" s="6" t="inlineStr"/>
    </row>
    <row r="7">
      <c r="A7" t="inlineStr">
        <is>
          <t>Annual saving per car vs CNG (₹ lakh)</t>
        </is>
      </c>
      <c r="B7" s="4">
        <f>TCO!B34</f>
        <v>0.0</v>
      </c>
      <c r="C7" s="4">
        <f>TCO!C34</f>
        <v>1.464</v>
      </c>
      <c r="D7" s="4">
        <f>TCO!D34</f>
        <v>1.7599999999999993</v>
      </c>
      <c r="E7" s="6" t="inlineStr">
        <is>
          <t>Slide 2: ₹1.5 L (BaaS) – ₹1.8 L (outright).</t>
        </is>
      </c>
    </row>
    <row r="8">
      <c r="A8" t="inlineStr">
        <is>
          <t>5-year saving per car vs CNG (₹ lakh)</t>
        </is>
      </c>
      <c r="B8" s="18">
        <f>B7*Inputs!$B$6</f>
        <v>0.0</v>
      </c>
      <c r="C8" s="18">
        <f>C7*Inputs!$B$6</f>
        <v>7.32</v>
      </c>
      <c r="D8" s="18">
        <f>D7*Inputs!$B$6</f>
        <v>8.799999999999997</v>
      </c>
      <c r="E8" s="6" t="inlineStr"/>
    </row>
    <row r="9">
      <c r="A9" t="inlineStr">
        <is>
          <t>Upfront capex per car (₹ lakh)</t>
        </is>
      </c>
      <c r="B9" s="24">
        <f>TCO!B25</f>
        <v>10.745</v>
      </c>
      <c r="C9" s="24">
        <f>TCO!C25</f>
        <v>7.901712000000001</v>
      </c>
      <c r="D9" s="24">
        <f>TCO!D25</f>
        <v>12.4304544</v>
      </c>
      <c r="E9" s="6" t="inlineStr"/>
    </row>
    <row r="10">
      <c r="A10" t="inlineStr">
        <is>
          <t>Extra capex vs CNG (₹ lakh)</t>
        </is>
      </c>
      <c r="B10" s="18">
        <f>B9-$B9</f>
        <v>0.0</v>
      </c>
      <c r="C10" s="18">
        <f>C9-$B9</f>
        <v>-2.8432879999999985</v>
      </c>
      <c r="D10" s="18">
        <f>D9-$B9</f>
        <v>1.6854544000000011</v>
      </c>
      <c r="E10" s="6" t="inlineStr">
        <is>
          <t>Negative = cheaper upfront.</t>
        </is>
      </c>
    </row>
    <row r="11">
      <c r="A11" t="inlineStr">
        <is>
          <t>Running-cost saving vs CNG (energy + maint., ₹ lakh/yr)</t>
        </is>
      </c>
      <c r="B11" s="18">
        <f>((TCO!$B22+TCO!$B23)-(TCO!B22+TCO!B23+TCO!B24))*Inputs!$B$8/100000</f>
        <v>0.0</v>
      </c>
      <c r="C11" s="18">
        <f>((TCO!$B22+TCO!$B23)-(TCO!C22+TCO!C23+TCO!C24))*Inputs!$B$8/100000</f>
        <v>0.6240000000000002</v>
      </c>
      <c r="D11" s="18">
        <f>((TCO!$B22+TCO!$B23)-(TCO!D22+TCO!D23+TCO!D24))*Inputs!$B$8/100000</f>
        <v>2.224</v>
      </c>
      <c r="E11" s="6" t="inlineStr">
        <is>
          <t>Outright case excludes battery fee.</t>
        </is>
      </c>
    </row>
    <row r="12">
      <c r="A12" t="inlineStr">
        <is>
          <t>Simple payback of extra capex (months)</t>
        </is>
      </c>
      <c r="B12" s="8">
        <f>IF(B10&lt;=0,0,B10/B11*12)</f>
        <v>0.0</v>
      </c>
      <c r="C12" s="8">
        <f>IF(C10&lt;=0,0,C10/C11*12)</f>
        <v>0.0</v>
      </c>
      <c r="D12" s="8">
        <f>IF(D10&lt;=0,0,D10/D11*12)</f>
        <v>9.094178417266193</v>
      </c>
      <c r="E12" s="6" t="inlineStr">
        <is>
          <t>Slide 2: ~9 months (outright). BaaS: immediate.</t>
        </is>
      </c>
    </row>
    <row r="13">
      <c r="A13" t="inlineStr">
        <is>
          <t>Fleet of N cars – annual saving (₹ crore)</t>
        </is>
      </c>
      <c r="B13" s="18">
        <f>B7*Inputs!$B$51/100</f>
        <v>0.0</v>
      </c>
      <c r="C13" s="18">
        <f>C7*Inputs!$B$51/100</f>
        <v>1.464</v>
      </c>
      <c r="D13" s="18">
        <f>D7*Inputs!$B$51/100</f>
        <v>1.7599999999999993</v>
      </c>
      <c r="E13" s="6" t="inlineStr">
        <is>
          <t>N from Inputs.</t>
        </is>
      </c>
    </row>
    <row r="14">
      <c r="A14" t="inlineStr">
        <is>
          <t>Fleet of N cars – capex (₹ crore)</t>
        </is>
      </c>
      <c r="B14" s="23">
        <f>B9*Inputs!$B$51/100</f>
        <v>10.745</v>
      </c>
      <c r="C14" s="23">
        <f>C9*Inputs!$B$51/100</f>
        <v>7.901712000000001</v>
      </c>
      <c r="D14" s="23">
        <f>D9*Inputs!$B$51/100</f>
        <v>12.4304544</v>
      </c>
      <c r="E14" s="6" t="inlineStr"/>
    </row>
    <row r="16">
      <c r="A16" s="6" t="inlineStr">
        <is>
          <t>Reading the payback: BaaS cars cost less upfront than the Ertiga CNG (payback = 0 months); the outright Tour-e costs ₹1.69 L more and repays that in ~9 months from energy + maintenance savings alone.</t>
        </is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13A89E"/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Sensitivity &amp; stress tests (owner-driver unless stated)</t>
        </is>
      </c>
    </row>
    <row r="2">
      <c r="A2" s="2" t="inlineStr">
        <is>
          <t>Each row recomputes the full ₹/km with one input changed; everything else from Inputs.</t>
        </is>
      </c>
    </row>
    <row r="4">
      <c r="A4" s="11" t="inlineStr">
        <is>
          <t>A · Annual kilometres</t>
        </is>
      </c>
      <c r="B4" s="12" t="n"/>
      <c r="C4" s="12" t="n"/>
      <c r="D4" s="12" t="n"/>
      <c r="E4" s="12" t="n"/>
      <c r="F4" s="12" t="n"/>
    </row>
    <row r="5">
      <c r="A5" s="3" t="inlineStr">
        <is>
          <t>km/yr</t>
        </is>
      </c>
      <c r="B5" s="3" t="inlineStr">
        <is>
          <t>CNG ₹/km</t>
        </is>
      </c>
      <c r="C5" s="3" t="inlineStr">
        <is>
          <t>Tour-e BaaS ₹/km</t>
        </is>
      </c>
      <c r="D5" s="3" t="inlineStr">
        <is>
          <t>Tour-e outright ₹/km</t>
        </is>
      </c>
      <c r="E5" s="3" t="inlineStr">
        <is>
          <t>BaaS saving ₹/month</t>
        </is>
      </c>
      <c r="F5" s="3" t="inlineStr">
        <is>
          <t>Outright saving ₹/month</t>
        </is>
      </c>
    </row>
    <row r="6">
      <c r="A6" s="13" t="n">
        <v>40000</v>
      </c>
      <c r="B6" s="18">
        <f>(ROUND(Inputs!$B$27/Inputs!$B$28,2)+Inputs!$B$29+ROUND((PMT(Inputs!$B$11,Inputs!$B$6,-Inputs!$B$26,Inputs!$B$13*Inputs!$B$26)+Inputs!$B$12*Inputs!$B$26)*100000/$A6,2))</f>
        <v>12.530000000000001</v>
      </c>
      <c r="C6" s="18">
        <f>(ROUND(Inputs!$B$19/Inputs!$B$20*(Inputs!$B$23*Inputs!$B$21+(1-Inputs!$B$23)*Inputs!$B$22),2)+Inputs!$B$24+Inputs!$B$45+ROUND((PMT(Inputs!$B$11,Inputs!$B$6,-Cost_Price!$B$28,Inputs!$B$15*Cost_Price!$B$28)+Inputs!$B$12*Cost_Price!$B$28)*100000/$A6,2))</f>
        <v>9.65</v>
      </c>
      <c r="D6" s="18">
        <f>(ROUND(Inputs!$B$19/Inputs!$B$20*(Inputs!$B$23*Inputs!$B$21+(1-Inputs!$B$23)*Inputs!$B$22),2)+Inputs!$B$24+ROUND((PMT(Inputs!$B$11,Inputs!$B$6,-Cost_Price!$B$27,Inputs!$B$14*Cost_Price!$B$27)+Inputs!$B$12*Cost_Price!$B$27)*100000/$A6,2))</f>
        <v>10.9</v>
      </c>
      <c r="E6" s="26">
        <f>(B6-C6)*$A6/12</f>
        <v>9600.000000000002</v>
      </c>
      <c r="F6" s="26">
        <f>(B6-D6)*$A6/12</f>
        <v>5433.333333333336</v>
      </c>
    </row>
    <row r="7">
      <c r="A7" s="13" t="n">
        <v>50000</v>
      </c>
      <c r="B7" s="18">
        <f>(ROUND(Inputs!$B$27/Inputs!$B$28,2)+Inputs!$B$29+ROUND((PMT(Inputs!$B$11,Inputs!$B$6,-Inputs!$B$26,Inputs!$B$13*Inputs!$B$26)+Inputs!$B$12*Inputs!$B$26)*100000/$A7,2))</f>
        <v>11.06</v>
      </c>
      <c r="C7" s="18">
        <f>(ROUND(Inputs!$B$19/Inputs!$B$20*(Inputs!$B$23*Inputs!$B$21+(1-Inputs!$B$23)*Inputs!$B$22),2)+Inputs!$B$24+Inputs!$B$45+ROUND((PMT(Inputs!$B$11,Inputs!$B$6,-Cost_Price!$B$28,Inputs!$B$15*Cost_Price!$B$28)+Inputs!$B$12*Cost_Price!$B$28)*100000/$A7,2))</f>
        <v>8.6</v>
      </c>
      <c r="D7" s="18">
        <f>(ROUND(Inputs!$B$19/Inputs!$B$20*(Inputs!$B$23*Inputs!$B$21+(1-Inputs!$B$23)*Inputs!$B$22),2)+Inputs!$B$24+ROUND((PMT(Inputs!$B$11,Inputs!$B$6,-Cost_Price!$B$27,Inputs!$B$14*Cost_Price!$B$27)+Inputs!$B$12*Cost_Price!$B$27)*100000/$A7,2))</f>
        <v>9.2</v>
      </c>
      <c r="E7" s="26">
        <f>(B7-C7)*$A7/12</f>
        <v>10250.000000000004</v>
      </c>
      <c r="F7" s="26">
        <f>(B7-D7)*$A7/12</f>
        <v>7750.000000000005</v>
      </c>
    </row>
    <row r="8">
      <c r="A8" s="13" t="n">
        <v>60000</v>
      </c>
      <c r="B8" s="18">
        <f>(ROUND(Inputs!$B$27/Inputs!$B$28,2)+Inputs!$B$29+ROUND((PMT(Inputs!$B$11,Inputs!$B$6,-Inputs!$B$26,Inputs!$B$13*Inputs!$B$26)+Inputs!$B$12*Inputs!$B$26)*100000/$A8,2))</f>
        <v>10.09</v>
      </c>
      <c r="C8" s="18">
        <f>(ROUND(Inputs!$B$19/Inputs!$B$20*(Inputs!$B$23*Inputs!$B$21+(1-Inputs!$B$23)*Inputs!$B$22),2)+Inputs!$B$24+Inputs!$B$45+ROUND((PMT(Inputs!$B$11,Inputs!$B$6,-Cost_Price!$B$28,Inputs!$B$15*Cost_Price!$B$28)+Inputs!$B$12*Cost_Price!$B$28)*100000/$A8,2))</f>
        <v>7.91</v>
      </c>
      <c r="D8" s="18">
        <f>(ROUND(Inputs!$B$19/Inputs!$B$20*(Inputs!$B$23*Inputs!$B$21+(1-Inputs!$B$23)*Inputs!$B$22),2)+Inputs!$B$24+ROUND((PMT(Inputs!$B$11,Inputs!$B$6,-Cost_Price!$B$27,Inputs!$B$14*Cost_Price!$B$27)+Inputs!$B$12*Cost_Price!$B$27)*100000/$A8,2))</f>
        <v>8.07</v>
      </c>
      <c r="E8" s="26">
        <f>(B8-C8)*$A8/12</f>
        <v>10899.999999999998</v>
      </c>
      <c r="F8" s="26">
        <f>(B8-D8)*$A8/12</f>
        <v>10099.999999999998</v>
      </c>
    </row>
    <row r="9">
      <c r="A9" s="13" t="n">
        <v>70000</v>
      </c>
      <c r="B9" s="18">
        <f>(ROUND(Inputs!$B$27/Inputs!$B$28,2)+Inputs!$B$29+ROUND((PMT(Inputs!$B$11,Inputs!$B$6,-Inputs!$B$26,Inputs!$B$13*Inputs!$B$26)+Inputs!$B$12*Inputs!$B$26)*100000/$A9,2))</f>
        <v>9.39</v>
      </c>
      <c r="C9" s="18">
        <f>(ROUND(Inputs!$B$19/Inputs!$B$20*(Inputs!$B$23*Inputs!$B$21+(1-Inputs!$B$23)*Inputs!$B$22),2)+Inputs!$B$24+Inputs!$B$45+ROUND((PMT(Inputs!$B$11,Inputs!$B$6,-Cost_Price!$B$28,Inputs!$B$15*Cost_Price!$B$28)+Inputs!$B$12*Cost_Price!$B$28)*100000/$A9,2))</f>
        <v>7.41</v>
      </c>
      <c r="D9" s="18">
        <f>(ROUND(Inputs!$B$19/Inputs!$B$20*(Inputs!$B$23*Inputs!$B$21+(1-Inputs!$B$23)*Inputs!$B$22),2)+Inputs!$B$24+ROUND((PMT(Inputs!$B$11,Inputs!$B$6,-Cost_Price!$B$27,Inputs!$B$14*Cost_Price!$B$27)+Inputs!$B$12*Cost_Price!$B$27)*100000/$A9,2))</f>
        <v>7.27</v>
      </c>
      <c r="E9" s="26">
        <f>(B9-C9)*$A9/12</f>
        <v>11550.000000000002</v>
      </c>
      <c r="F9" s="26">
        <f>(B9-D9)*$A9/12</f>
        <v>12366.666666666672</v>
      </c>
    </row>
    <row r="10">
      <c r="A10" s="13" t="n">
        <v>80000</v>
      </c>
      <c r="B10" s="18">
        <f>(ROUND(Inputs!$B$27/Inputs!$B$28,2)+Inputs!$B$29+ROUND((PMT(Inputs!$B$11,Inputs!$B$6,-Inputs!$B$26,Inputs!$B$13*Inputs!$B$26)+Inputs!$B$12*Inputs!$B$26)*100000/$A10,2))</f>
        <v>8.86</v>
      </c>
      <c r="C10" s="18">
        <f>(ROUND(Inputs!$B$19/Inputs!$B$20*(Inputs!$B$23*Inputs!$B$21+(1-Inputs!$B$23)*Inputs!$B$22),2)+Inputs!$B$24+Inputs!$B$45+ROUND((PMT(Inputs!$B$11,Inputs!$B$6,-Cost_Price!$B$28,Inputs!$B$15*Cost_Price!$B$28)+Inputs!$B$12*Cost_Price!$B$28)*100000/$A10,2))</f>
        <v>7.029999999999999</v>
      </c>
      <c r="D10" s="18">
        <f>(ROUND(Inputs!$B$19/Inputs!$B$20*(Inputs!$B$23*Inputs!$B$21+(1-Inputs!$B$23)*Inputs!$B$22),2)+Inputs!$B$24+ROUND((PMT(Inputs!$B$11,Inputs!$B$6,-Cost_Price!$B$27,Inputs!$B$14*Cost_Price!$B$27)+Inputs!$B$12*Cost_Price!$B$27)*100000/$A10,2))</f>
        <v>6.66</v>
      </c>
      <c r="E10" s="26">
        <f>(B10-C10)*$A10/12</f>
        <v>12200.0</v>
      </c>
      <c r="F10" s="26">
        <f>(B10-D10)*$A10/12</f>
        <v>14666.666666666662</v>
      </c>
    </row>
    <row r="11">
      <c r="A11" s="13" t="n">
        <v>100000</v>
      </c>
      <c r="B11" s="18">
        <f>(ROUND(Inputs!$B$27/Inputs!$B$28,2)+Inputs!$B$29+ROUND((PMT(Inputs!$B$11,Inputs!$B$6,-Inputs!$B$26,Inputs!$B$13*Inputs!$B$26)+Inputs!$B$12*Inputs!$B$26)*100000/$A11,2))</f>
        <v>8.13</v>
      </c>
      <c r="C11" s="18">
        <f>(ROUND(Inputs!$B$19/Inputs!$B$20*(Inputs!$B$23*Inputs!$B$21+(1-Inputs!$B$23)*Inputs!$B$22),2)+Inputs!$B$24+Inputs!$B$45+ROUND((PMT(Inputs!$B$11,Inputs!$B$6,-Cost_Price!$B$28,Inputs!$B$15*Cost_Price!$B$28)+Inputs!$B$12*Cost_Price!$B$28)*100000/$A11,2))</f>
        <v>6.51</v>
      </c>
      <c r="D11" s="18">
        <f>(ROUND(Inputs!$B$19/Inputs!$B$20*(Inputs!$B$23*Inputs!$B$21+(1-Inputs!$B$23)*Inputs!$B$22),2)+Inputs!$B$24+ROUND((PMT(Inputs!$B$11,Inputs!$B$6,-Cost_Price!$B$27,Inputs!$B$14*Cost_Price!$B$27)+Inputs!$B$12*Cost_Price!$B$27)*100000/$A11,2))</f>
        <v>5.8100000000000005</v>
      </c>
      <c r="E11" s="26">
        <f>(B11-C11)*$A11/12</f>
        <v>13500.000000000007</v>
      </c>
      <c r="F11" s="26">
        <f>(B11-D11)*$A11/12</f>
        <v>19333.333333333336</v>
      </c>
    </row>
    <row r="12">
      <c r="A12" s="6" t="inlineStr">
        <is>
          <t>Tour-e is cheaper than CNG at every utilisation tested (40k–100k km/yr), and the gap widens with km.</t>
        </is>
      </c>
    </row>
    <row r="14">
      <c r="A14" s="11" t="inlineStr">
        <is>
          <t>B · CNG price (₹/kg)</t>
        </is>
      </c>
      <c r="B14" s="12" t="n"/>
      <c r="C14" s="12" t="n"/>
      <c r="D14" s="12" t="n"/>
      <c r="E14" s="12" t="n"/>
      <c r="F14" s="12" t="n"/>
    </row>
    <row r="15">
      <c r="A15" s="3" t="inlineStr">
        <is>
          <t>₹/kg</t>
        </is>
      </c>
      <c r="B15" s="3" t="inlineStr">
        <is>
          <t>CNG ₹/km</t>
        </is>
      </c>
      <c r="C15" s="3" t="inlineStr">
        <is>
          <t>Tour-e BaaS ₹/km</t>
        </is>
      </c>
      <c r="D15" s="3" t="inlineStr">
        <is>
          <t>Uplift ₹/month</t>
        </is>
      </c>
    </row>
    <row r="16">
      <c r="A16" s="30" t="n">
        <v>65</v>
      </c>
      <c r="B16" s="18">
        <f>(ROUND($A16/Inputs!$B$28,2)+Inputs!$B$29+ROUND((PMT(Inputs!$B$11,Inputs!$B$6,-Inputs!$B$26,Inputs!$B$13*Inputs!$B$26)+Inputs!$B$12*Inputs!$B$26)*100000/Inputs!$B$7,2))</f>
        <v>9.09</v>
      </c>
      <c r="C16" s="18">
        <f>(ROUND(Inputs!$B$19/Inputs!$B$20*(Inputs!$B$23*Inputs!$B$21+(1-Inputs!$B$23)*Inputs!$B$22),2)+Inputs!$B$24+Inputs!$B$45+ROUND((PMT(Inputs!$B$11,Inputs!$B$6,-Cost_Price!$B$28,Inputs!$B$15*Cost_Price!$B$28)+Inputs!$B$12*Cost_Price!$B$28)*100000/Inputs!$B$7,2))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16" s="26">
        <f>(B16-C16)*Inputs!$B$7/12</f>
        <v>5899.999999999999</v>
      </c>
    </row>
    <row r="17">
      <c r="A17" s="30" t="n">
        <v>75</v>
      </c>
      <c r="B17" s="18">
        <f>(ROUND($A17/Inputs!$B$28,2)+Inputs!$B$29+ROUND((PMT(Inputs!$B$11,Inputs!$B$6,-Inputs!$B$26,Inputs!$B$13*Inputs!$B$26)+Inputs!$B$12*Inputs!$B$26)*100000/Inputs!$B$7,2))</f>
        <v>9.59</v>
      </c>
      <c r="C17" s="18">
        <f>(ROUND(Inputs!$B$19/Inputs!$B$20*(Inputs!$B$23*Inputs!$B$21+(1-Inputs!$B$23)*Inputs!$B$22),2)+Inputs!$B$24+Inputs!$B$45+ROUND((PMT(Inputs!$B$11,Inputs!$B$6,-Cost_Price!$B$28,Inputs!$B$15*Cost_Price!$B$28)+Inputs!$B$12*Cost_Price!$B$28)*100000/Inputs!$B$7,2))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17" s="26">
        <f>(B17-C17)*Inputs!$B$7/12</f>
        <v>8399.999999999998</v>
      </c>
    </row>
    <row r="18">
      <c r="A18" s="30" t="n">
        <v>85</v>
      </c>
      <c r="B18" s="18">
        <f>(ROUND($A18/Inputs!$B$28,2)+Inputs!$B$29+ROUND((PMT(Inputs!$B$11,Inputs!$B$6,-Inputs!$B$26,Inputs!$B$13*Inputs!$B$26)+Inputs!$B$12*Inputs!$B$26)*100000/Inputs!$B$7,2))</f>
        <v>10.09</v>
      </c>
      <c r="C18" s="18">
        <f>(ROUND(Inputs!$B$19/Inputs!$B$20*(Inputs!$B$23*Inputs!$B$21+(1-Inputs!$B$23)*Inputs!$B$22),2)+Inputs!$B$24+Inputs!$B$45+ROUND((PMT(Inputs!$B$11,Inputs!$B$6,-Cost_Price!$B$28,Inputs!$B$15*Cost_Price!$B$28)+Inputs!$B$12*Cost_Price!$B$28)*100000/Inputs!$B$7,2))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18" s="26">
        <f>(B18-C18)*Inputs!$B$7/12</f>
        <v>10899.999999999998</v>
      </c>
    </row>
    <row r="19">
      <c r="A19" s="30" t="n">
        <v>95</v>
      </c>
      <c r="B19" s="18">
        <f>(ROUND($A19/Inputs!$B$28,2)+Inputs!$B$29+ROUND((PMT(Inputs!$B$11,Inputs!$B$6,-Inputs!$B$26,Inputs!$B$13*Inputs!$B$26)+Inputs!$B$12*Inputs!$B$26)*100000/Inputs!$B$7,2))</f>
        <v>10.59</v>
      </c>
      <c r="C19" s="18">
        <f>(ROUND(Inputs!$B$19/Inputs!$B$20*(Inputs!$B$23*Inputs!$B$21+(1-Inputs!$B$23)*Inputs!$B$22),2)+Inputs!$B$24+Inputs!$B$45+ROUND((PMT(Inputs!$B$11,Inputs!$B$6,-Cost_Price!$B$28,Inputs!$B$15*Cost_Price!$B$28)+Inputs!$B$12*Cost_Price!$B$28)*100000/Inputs!$B$7,2))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19" s="26">
        <f>(B19-C19)*Inputs!$B$7/12</f>
        <v>13399.999999999998</v>
      </c>
    </row>
    <row r="20">
      <c r="A20" s="30" t="n">
        <v>105</v>
      </c>
      <c r="B20" s="18">
        <f>(ROUND($A20/Inputs!$B$28,2)+Inputs!$B$29+ROUND((PMT(Inputs!$B$11,Inputs!$B$6,-Inputs!$B$26,Inputs!$B$13*Inputs!$B$26)+Inputs!$B$12*Inputs!$B$26)*100000/Inputs!$B$7,2))</f>
        <v>11.09</v>
      </c>
      <c r="C20" s="18">
        <f>(ROUND(Inputs!$B$19/Inputs!$B$20*(Inputs!$B$23*Inputs!$B$21+(1-Inputs!$B$23)*Inputs!$B$22),2)+Inputs!$B$24+Inputs!$B$45+ROUND((PMT(Inputs!$B$11,Inputs!$B$6,-Cost_Price!$B$28,Inputs!$B$15*Cost_Price!$B$28)+Inputs!$B$12*Cost_Price!$B$28)*100000/Inputs!$B$7,2))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20" s="26">
        <f>(B20-C20)*Inputs!$B$7/12</f>
        <v>15899.999999999998</v>
      </c>
    </row>
    <row r="21">
      <c r="A21" s="6" t="inlineStr">
        <is>
          <t>Even if CNG falls to ₹75/kg, Tour-e keeps the owner-driver ~₹8.4k/month ahead (slide 2 stress test).</t>
        </is>
      </c>
    </row>
    <row r="23">
      <c r="A23" s="11" t="inlineStr">
        <is>
          <t>C · Share of energy from public DC</t>
        </is>
      </c>
      <c r="B23" s="12" t="n"/>
      <c r="C23" s="12" t="n"/>
      <c r="D23" s="12" t="n"/>
      <c r="E23" s="12" t="n"/>
      <c r="F23" s="12" t="n"/>
    </row>
    <row r="24">
      <c r="A24" s="3" t="inlineStr">
        <is>
          <t>DC share</t>
        </is>
      </c>
      <c r="B24" s="3" t="inlineStr">
        <is>
          <t>Blended ₹/kWh</t>
        </is>
      </c>
      <c r="C24" s="3" t="inlineStr">
        <is>
          <t>Tour-e BaaS ₹/km</t>
        </is>
      </c>
      <c r="D24" s="3" t="inlineStr">
        <is>
          <t>CNG ₹/km</t>
        </is>
      </c>
      <c r="E24" s="3" t="inlineStr">
        <is>
          <t>Uplift ₹/month</t>
        </is>
      </c>
    </row>
    <row r="25">
      <c r="A25" s="31" t="n">
        <v>0</v>
      </c>
      <c r="B25" s="18">
        <f>((1-$A25)*Inputs!$B$21+$A25*Inputs!$B$22)</f>
        <v>9.0</v>
      </c>
      <c r="C25" s="18">
        <f>((Inputs!$B$19/Inputs!$B$20*((1-$A25)*Inputs!$B$21+(1-(1-$A25))*Inputs!$B$22))+Inputs!$B$24+Inputs!$B$45+((PMT(Inputs!$B$11,Inputs!$B$6,-Cost_Price!$B$28,Inputs!$B$15*Cost_Price!$B$28)+Inputs!$B$12*Cost_Price!$B$28)*100000/Inputs!$B$7))</f>
        <v>7.536503943956239</v>
      </c>
      <c r="D25" s="18">
        <f>(ROUND(Inputs!$B$27/Inputs!$B$28,2)+Inputs!$B$29+ROUND((PMT(Inputs!$B$11,Inputs!$B$6,-Inputs!$B$26,Inputs!$B$13*Inputs!$B$26)+Inputs!$B$12*Inputs!$B$26)*100000/Inputs!$B$7,2))</f>
        <v>10.09</v>
      </c>
      <c r="E25" s="26">
        <f>(D25-C25)*Inputs!$B$7/12</f>
        <v>12767.480280218804</v>
      </c>
    </row>
    <row r="26">
      <c r="A26" s="31" t="n">
        <v>0.35</v>
      </c>
      <c r="B26" s="18">
        <f>((1-$A26)*Inputs!$B$21+$A26*Inputs!$B$22)</f>
        <v>12.850000000000001</v>
      </c>
      <c r="C26" s="18">
        <f>((Inputs!$B$19/Inputs!$B$20*((1-$A26)*Inputs!$B$21+(1-(1-$A26))*Inputs!$B$22))+Inputs!$B$24+Inputs!$B$45+((PMT(Inputs!$B$11,Inputs!$B$6,-Cost_Price!$B$28,Inputs!$B$15*Cost_Price!$B$28)+Inputs!$B$12*Cost_Price!$B$28)*100000/Inputs!$B$7))</f>
        <v>8.178170610622907</v>
      </c>
      <c r="D26" s="18">
        <f>(ROUND(Inputs!$B$27/Inputs!$B$28,2)+Inputs!$B$29+ROUND((PMT(Inputs!$B$11,Inputs!$B$6,-Inputs!$B$26,Inputs!$B$13*Inputs!$B$26)+Inputs!$B$12*Inputs!$B$26)*100000/Inputs!$B$7,2))</f>
        <v>10.09</v>
      </c>
      <c r="E26" s="26">
        <f>(D26-C26)*Inputs!$B$7/12</f>
        <v>9559.146946885467</v>
      </c>
    </row>
    <row r="27">
      <c r="A27" s="31" t="n">
        <v>0.5</v>
      </c>
      <c r="B27" s="18">
        <f>((1-$A27)*Inputs!$B$21+$A27*Inputs!$B$22)</f>
        <v>14.5</v>
      </c>
      <c r="C27" s="18">
        <f>((Inputs!$B$19/Inputs!$B$20*((1-$A27)*Inputs!$B$21+(1-(1-$A27))*Inputs!$B$22))+Inputs!$B$24+Inputs!$B$45+((PMT(Inputs!$B$11,Inputs!$B$6,-Cost_Price!$B$28,Inputs!$B$15*Cost_Price!$B$28)+Inputs!$B$12*Cost_Price!$B$28)*100000/Inputs!$B$7))</f>
        <v>8.453170610622907</v>
      </c>
      <c r="D27" s="18">
        <f>(ROUND(Inputs!$B$27/Inputs!$B$28,2)+Inputs!$B$29+ROUND((PMT(Inputs!$B$11,Inputs!$B$6,-Inputs!$B$26,Inputs!$B$13*Inputs!$B$26)+Inputs!$B$12*Inputs!$B$26)*100000/Inputs!$B$7,2))</f>
        <v>10.09</v>
      </c>
      <c r="E27" s="26">
        <f>(D27-C27)*Inputs!$B$7/12</f>
        <v>8184.146946885464</v>
      </c>
    </row>
    <row r="28">
      <c r="A28" s="31" t="n">
        <v>0.75</v>
      </c>
      <c r="B28" s="18">
        <f>((1-$A28)*Inputs!$B$21+$A28*Inputs!$B$22)</f>
        <v>17.25</v>
      </c>
      <c r="C28" s="18">
        <f>((Inputs!$B$19/Inputs!$B$20*((1-$A28)*Inputs!$B$21+(1-(1-$A28))*Inputs!$B$22))+Inputs!$B$24+Inputs!$B$45+((PMT(Inputs!$B$11,Inputs!$B$6,-Cost_Price!$B$28,Inputs!$B$15*Cost_Price!$B$28)+Inputs!$B$12*Cost_Price!$B$28)*100000/Inputs!$B$7))</f>
        <v>8.91150394395624</v>
      </c>
      <c r="D28" s="18">
        <f>(ROUND(Inputs!$B$27/Inputs!$B$28,2)+Inputs!$B$29+ROUND((PMT(Inputs!$B$11,Inputs!$B$6,-Inputs!$B$26,Inputs!$B$13*Inputs!$B$26)+Inputs!$B$12*Inputs!$B$26)*100000/Inputs!$B$7,2))</f>
        <v>10.09</v>
      </c>
      <c r="E28" s="26">
        <f>(D28-C28)*Inputs!$B$7/12</f>
        <v>5892.480280218803</v>
      </c>
    </row>
    <row r="29">
      <c r="A29" s="31" t="n">
        <v>1</v>
      </c>
      <c r="B29" s="18">
        <f>((1-$A29)*Inputs!$B$21+$A29*Inputs!$B$22)</f>
        <v>20.0</v>
      </c>
      <c r="C29" s="18">
        <f>((Inputs!$B$19/Inputs!$B$20*((1-$A29)*Inputs!$B$21+(1-(1-$A29))*Inputs!$B$22))+Inputs!$B$24+Inputs!$B$45+((PMT(Inputs!$B$11,Inputs!$B$6,-Cost_Price!$B$28,Inputs!$B$15*Cost_Price!$B$28)+Inputs!$B$12*Cost_Price!$B$28)*100000/Inputs!$B$7))</f>
        <v>9.369837277289573</v>
      </c>
      <c r="D29" s="18">
        <f>(ROUND(Inputs!$B$27/Inputs!$B$28,2)+Inputs!$B$29+ROUND((PMT(Inputs!$B$11,Inputs!$B$6,-Inputs!$B$26,Inputs!$B$13*Inputs!$B$26)+Inputs!$B$12*Inputs!$B$26)*100000/Inputs!$B$7,2))</f>
        <v>10.09</v>
      </c>
      <c r="E29" s="26">
        <f>(D29-C29)*Inputs!$B$7/12</f>
        <v>3600.813613552134</v>
      </c>
    </row>
    <row r="30">
      <c r="A30" s="6" t="inlineStr">
        <is>
          <t>50% public DC charging → ₹8.45/km (slide 2 stress test). Even 100% public DC stays below CNG.</t>
        </is>
      </c>
    </row>
    <row r="32">
      <c r="A32" s="11" t="inlineStr">
        <is>
          <t>D · Fleet BaaS rate (₹/km)</t>
        </is>
      </c>
      <c r="B32" s="12" t="n"/>
      <c r="C32" s="12" t="n"/>
      <c r="D32" s="12" t="n"/>
      <c r="E32" s="12" t="n"/>
      <c r="F32" s="12" t="n"/>
    </row>
    <row r="33">
      <c r="A33" s="3" t="inlineStr">
        <is>
          <t>₹/km</t>
        </is>
      </c>
      <c r="B33" s="3" t="inlineStr">
        <is>
          <t>Tour-e BaaS ₹/km</t>
        </is>
      </c>
      <c r="C33" s="3" t="inlineStr">
        <is>
          <t>CNG ₹/km</t>
        </is>
      </c>
      <c r="D33" s="3" t="inlineStr">
        <is>
          <t>Uplift ₹/month</t>
        </is>
      </c>
    </row>
    <row r="34">
      <c r="A34" s="17" t="n">
        <v>1.6</v>
      </c>
      <c r="B34" s="18">
        <f>(ROUND(Inputs!$B$19/Inputs!$B$20*(Inputs!$B$23*Inputs!$B$21+(1-Inputs!$B$23)*Inputs!$B$22),2)+Inputs!$B$24+$A34+ROUND((PMT(Inputs!$B$11,Inputs!$B$6,-Cost_Price!$B$28,Inputs!$B$15*Cost_Price!$B$28)+Inputs!$B$12*Cost_Price!$B$28)*100000/Inputs!$B$7,2))</f>
        <v>7.51</v>
      </c>
      <c r="C34" s="18">
        <f>(ROUND(Inputs!$B$27/Inputs!$B$28,2)+Inputs!$B$29+ROUND((PMT(Inputs!$B$11,Inputs!$B$6,-Inputs!$B$26,Inputs!$B$13*Inputs!$B$26)+Inputs!$B$12*Inputs!$B$26)*100000/Inputs!$B$7,2))</f>
        <v>10.09</v>
      </c>
      <c r="D34" s="26">
        <f>(C34-B34)*Inputs!$B$7/12</f>
        <v>12900.0</v>
      </c>
    </row>
    <row r="35">
      <c r="A35" s="17" t="n">
        <v>1.8</v>
      </c>
      <c r="B35" s="18">
        <f>(ROUND(Inputs!$B$19/Inputs!$B$20*(Inputs!$B$23*Inputs!$B$21+(1-Inputs!$B$23)*Inputs!$B$22),2)+Inputs!$B$24+$A35+ROUND((PMT(Inputs!$B$11,Inputs!$B$6,-Cost_Price!$B$28,Inputs!$B$15*Cost_Price!$B$28)+Inputs!$B$12*Cost_Price!$B$28)*100000/Inputs!$B$7,2))</f>
        <v>7.71</v>
      </c>
      <c r="C35" s="18">
        <f>(ROUND(Inputs!$B$27/Inputs!$B$28,2)+Inputs!$B$29+ROUND((PMT(Inputs!$B$11,Inputs!$B$6,-Inputs!$B$26,Inputs!$B$13*Inputs!$B$26)+Inputs!$B$12*Inputs!$B$26)*100000/Inputs!$B$7,2))</f>
        <v>10.09</v>
      </c>
      <c r="D35" s="26">
        <f>(C35-B35)*Inputs!$B$7/12</f>
        <v>11900.0</v>
      </c>
    </row>
    <row r="36">
      <c r="A36" s="17" t="n">
        <v>2</v>
      </c>
      <c r="B36" s="18">
        <f>(ROUND(Inputs!$B$19/Inputs!$B$20*(Inputs!$B$23*Inputs!$B$21+(1-Inputs!$B$23)*Inputs!$B$22),2)+Inputs!$B$24+$A36+ROUND((PMT(Inputs!$B$11,Inputs!$B$6,-Cost_Price!$B$28,Inputs!$B$15*Cost_Price!$B$28)+Inputs!$B$12*Cost_Price!$B$28)*100000/Inputs!$B$7,2))</f>
        <v>7.91</v>
      </c>
      <c r="C36" s="18">
        <f>(ROUND(Inputs!$B$27/Inputs!$B$28,2)+Inputs!$B$29+ROUND((PMT(Inputs!$B$11,Inputs!$B$6,-Inputs!$B$26,Inputs!$B$13*Inputs!$B$26)+Inputs!$B$12*Inputs!$B$26)*100000/Inputs!$B$7,2))</f>
        <v>10.09</v>
      </c>
      <c r="D36" s="26">
        <f>(C36-B36)*Inputs!$B$7/12</f>
        <v>10899.999999999998</v>
      </c>
    </row>
    <row r="37">
      <c r="A37" s="17" t="n">
        <v>2.5</v>
      </c>
      <c r="B37" s="18">
        <f>(ROUND(Inputs!$B$19/Inputs!$B$20*(Inputs!$B$23*Inputs!$B$21+(1-Inputs!$B$23)*Inputs!$B$22),2)+Inputs!$B$24+$A37+ROUND((PMT(Inputs!$B$11,Inputs!$B$6,-Cost_Price!$B$28,Inputs!$B$15*Cost_Price!$B$28)+Inputs!$B$12*Cost_Price!$B$28)*100000/Inputs!$B$7,2))</f>
        <v>8.41</v>
      </c>
      <c r="C37" s="18">
        <f>(ROUND(Inputs!$B$27/Inputs!$B$28,2)+Inputs!$B$29+ROUND((PMT(Inputs!$B$11,Inputs!$B$6,-Inputs!$B$26,Inputs!$B$13*Inputs!$B$26)+Inputs!$B$12*Inputs!$B$26)*100000/Inputs!$B$7,2))</f>
        <v>10.09</v>
      </c>
      <c r="D37" s="26">
        <f>(C37-B37)*Inputs!$B$7/12</f>
        <v>8399.999999999998</v>
      </c>
    </row>
    <row r="38">
      <c r="A38" s="17" t="n">
        <v>3</v>
      </c>
      <c r="B38" s="18">
        <f>(ROUND(Inputs!$B$19/Inputs!$B$20*(Inputs!$B$23*Inputs!$B$21+(1-Inputs!$B$23)*Inputs!$B$22),2)+Inputs!$B$24+$A38+ROUND((PMT(Inputs!$B$11,Inputs!$B$6,-Cost_Price!$B$28,Inputs!$B$15*Cost_Price!$B$28)+Inputs!$B$12*Cost_Price!$B$28)*100000/Inputs!$B$7,2))</f>
        <v>8.91</v>
      </c>
      <c r="C38" s="18">
        <f>(ROUND(Inputs!$B$27/Inputs!$B$28,2)+Inputs!$B$29+ROUND((PMT(Inputs!$B$11,Inputs!$B$6,-Inputs!$B$26,Inputs!$B$13*Inputs!$B$26)+Inputs!$B$12*Inputs!$B$26)*100000/Inputs!$B$7,2))</f>
        <v>10.09</v>
      </c>
      <c r="D38" s="26">
        <f>(C38-B38)*Inputs!$B$7/12</f>
        <v>5899.999999999999</v>
      </c>
    </row>
    <row r="39">
      <c r="A39" s="17" t="n">
        <v>3.99</v>
      </c>
      <c r="B39" s="18">
        <f>(ROUND(Inputs!$B$19/Inputs!$B$20*(Inputs!$B$23*Inputs!$B$21+(1-Inputs!$B$23)*Inputs!$B$22),2)+Inputs!$B$24+$A39+ROUND((PMT(Inputs!$B$11,Inputs!$B$6,-Cost_Price!$B$28,Inputs!$B$15*Cost_Price!$B$28)+Inputs!$B$12*Cost_Price!$B$28)*100000/Inputs!$B$7,2))</f>
        <v>9.9</v>
      </c>
      <c r="C39" s="18">
        <f>(ROUND(Inputs!$B$27/Inputs!$B$28,2)+Inputs!$B$29+ROUND((PMT(Inputs!$B$11,Inputs!$B$6,-Inputs!$B$26,Inputs!$B$13*Inputs!$B$26)+Inputs!$B$12*Inputs!$B$26)*100000/Inputs!$B$7,2))</f>
        <v>10.09</v>
      </c>
      <c r="D39" s="26">
        <f>(C39-B39)*Inputs!$B$7/12</f>
        <v>949.9999999999976</v>
      </c>
    </row>
    <row r="40">
      <c r="A40" s="6" t="inlineStr">
        <is>
          <t>Tour-e stays ahead of CNG up to a battery rate of ₹4.18/km (break-even G), above even the retail e VITARA rate.</t>
        </is>
      </c>
    </row>
    <row r="42">
      <c r="A42" s="11" t="inlineStr">
        <is>
          <t>E · Real-world energy use (kWh/km)</t>
        </is>
      </c>
      <c r="B42" s="12" t="n"/>
      <c r="C42" s="12" t="n"/>
      <c r="D42" s="12" t="n"/>
      <c r="E42" s="12" t="n"/>
      <c r="F42" s="12" t="n"/>
    </row>
    <row r="43">
      <c r="A43" s="3" t="inlineStr">
        <is>
          <t>kWh/km</t>
        </is>
      </c>
      <c r="B43" s="3" t="inlineStr">
        <is>
          <t>Range on 45 kWh (km)</t>
        </is>
      </c>
      <c r="C43" s="3" t="inlineStr">
        <is>
          <t>Tour-e BaaS ₹/km</t>
        </is>
      </c>
      <c r="D43" s="3" t="inlineStr">
        <is>
          <t>Uplift ₹/month</t>
        </is>
      </c>
    </row>
    <row r="44">
      <c r="A44" s="16" t="n">
        <v>0.13</v>
      </c>
      <c r="B44" s="28">
        <f>Inputs!$B$17/$A44</f>
        <v>346.15384615384613</v>
      </c>
      <c r="C44" s="18">
        <f>(ROUND($A44/Inputs!$B$20*(Inputs!$B$23*Inputs!$B$21+(1-Inputs!$B$23)*Inputs!$B$22),2)+Inputs!$B$24+Inputs!$B$45+ROUND((PMT(Inputs!$B$11,Inputs!$B$6,-Cost_Price!$B$28,Inputs!$B$15*Cost_Price!$B$28)+Inputs!$B$12*Cost_Price!$B$28)*100000/Inputs!$B$7,2))</f>
        <v>7.66</v>
      </c>
      <c r="D44" s="26">
        <f>((ROUND(Inputs!$B$27/Inputs!$B$28,2)+Inputs!$B$29+ROUND((PMT(Inputs!$B$11,Inputs!$B$6,-Inputs!$B$26,Inputs!$B$13*Inputs!$B$26)+Inputs!$B$12*Inputs!$B$26)*100000/Inputs!$B$7,2))-C44)*Inputs!$B$7/12</f>
        <v>12149.999999999998</v>
      </c>
    </row>
    <row r="45">
      <c r="A45" s="16" t="n">
        <v>0.15</v>
      </c>
      <c r="B45" s="28">
        <f>Inputs!$B$17/$A45</f>
        <v>300.0</v>
      </c>
      <c r="C45" s="18">
        <f>(ROUND($A45/Inputs!$B$20*(Inputs!$B$23*Inputs!$B$21+(1-Inputs!$B$23)*Inputs!$B$22),2)+Inputs!$B$24+Inputs!$B$45+ROUND((PMT(Inputs!$B$11,Inputs!$B$6,-Cost_Price!$B$28,Inputs!$B$15*Cost_Price!$B$28)+Inputs!$B$12*Cost_Price!$B$28)*100000/Inputs!$B$7,2))</f>
        <v>7.91</v>
      </c>
      <c r="D45" s="26">
        <f>((ROUND(Inputs!$B$27/Inputs!$B$28,2)+Inputs!$B$29+ROUND((PMT(Inputs!$B$11,Inputs!$B$6,-Inputs!$B$26,Inputs!$B$13*Inputs!$B$26)+Inputs!$B$12*Inputs!$B$26)*100000/Inputs!$B$7,2))-C45)*Inputs!$B$7/12</f>
        <v>10899.999999999998</v>
      </c>
    </row>
    <row r="46">
      <c r="A46" s="16" t="n">
        <v>0.17</v>
      </c>
      <c r="B46" s="28">
        <f>Inputs!$B$17/$A46</f>
        <v>264.70588235294116</v>
      </c>
      <c r="C46" s="18">
        <f>(ROUND($A46/Inputs!$B$20*(Inputs!$B$23*Inputs!$B$21+(1-Inputs!$B$23)*Inputs!$B$22),2)+Inputs!$B$24+Inputs!$B$45+ROUND((PMT(Inputs!$B$11,Inputs!$B$6,-Cost_Price!$B$28,Inputs!$B$15*Cost_Price!$B$28)+Inputs!$B$12*Cost_Price!$B$28)*100000/Inputs!$B$7,2))</f>
        <v>8.16</v>
      </c>
      <c r="D46" s="26">
        <f>((ROUND(Inputs!$B$27/Inputs!$B$28,2)+Inputs!$B$29+ROUND((PMT(Inputs!$B$11,Inputs!$B$6,-Inputs!$B$26,Inputs!$B$13*Inputs!$B$26)+Inputs!$B$12*Inputs!$B$26)*100000/Inputs!$B$7,2))-C46)*Inputs!$B$7/12</f>
        <v>9649.999999999998</v>
      </c>
    </row>
    <row r="47">
      <c r="A47" s="16" t="n">
        <v>0.19</v>
      </c>
      <c r="B47" s="28">
        <f>Inputs!$B$17/$A47</f>
        <v>236.8421052631579</v>
      </c>
      <c r="C47" s="18">
        <f>(ROUND($A47/Inputs!$B$20*(Inputs!$B$23*Inputs!$B$21+(1-Inputs!$B$23)*Inputs!$B$22),2)+Inputs!$B$24+Inputs!$B$45+ROUND((PMT(Inputs!$B$11,Inputs!$B$6,-Cost_Price!$B$28,Inputs!$B$15*Cost_Price!$B$28)+Inputs!$B$12*Cost_Price!$B$28)*100000/Inputs!$B$7,2))</f>
        <v>8.4</v>
      </c>
      <c r="D47" s="26">
        <f>((ROUND(Inputs!$B$27/Inputs!$B$28,2)+Inputs!$B$29+ROUND((PMT(Inputs!$B$11,Inputs!$B$6,-Inputs!$B$26,Inputs!$B$13*Inputs!$B$26)+Inputs!$B$12*Inputs!$B$26)*100000/Inputs!$B$7,2))-C47)*Inputs!$B$7/12</f>
        <v>8449.999999999998</v>
      </c>
    </row>
    <row r="48">
      <c r="A48" s="16" t="n">
        <v>0.21</v>
      </c>
      <c r="B48" s="28">
        <f>Inputs!$B$17/$A48</f>
        <v>214.2857142857143</v>
      </c>
      <c r="C48" s="18">
        <f>(ROUND($A48/Inputs!$B$20*(Inputs!$B$23*Inputs!$B$21+(1-Inputs!$B$23)*Inputs!$B$22),2)+Inputs!$B$24+Inputs!$B$45+ROUND((PMT(Inputs!$B$11,Inputs!$B$6,-Cost_Price!$B$28,Inputs!$B$15*Cost_Price!$B$28)+Inputs!$B$12*Cost_Price!$B$28)*100000/Inputs!$B$7,2))</f>
        <v>8.65</v>
      </c>
      <c r="D48" s="26">
        <f>((ROUND(Inputs!$B$27/Inputs!$B$28,2)+Inputs!$B$29+ROUND((PMT(Inputs!$B$11,Inputs!$B$6,-Inputs!$B$26,Inputs!$B$13*Inputs!$B$26)+Inputs!$B$12*Inputs!$B$26)*100000/Inputs!$B$7,2))-C48)*Inputs!$B$7/12</f>
        <v>7199.999999999997</v>
      </c>
    </row>
    <row r="49">
      <c r="A49" s="6" t="inlineStr">
        <is>
          <t>Even at 40% worse-than-target efficiency (0.21 kWh/km) the driver is ~₹7k/month ahead, and range still covers a 200 km day.</t>
        </is>
      </c>
    </row>
    <row r="51">
      <c r="A51" s="11" t="inlineStr">
        <is>
          <t>F · Residual value – Tour-e outright</t>
        </is>
      </c>
      <c r="B51" s="12" t="n"/>
      <c r="C51" s="12" t="n"/>
      <c r="D51" s="12" t="n"/>
      <c r="E51" s="12" t="n"/>
      <c r="F51" s="12" t="n"/>
    </row>
    <row r="52">
      <c r="A52" s="3" t="inlineStr">
        <is>
          <t>Residual</t>
        </is>
      </c>
      <c r="B52" s="3" t="inlineStr">
        <is>
          <t>Tour-e outright ₹/km</t>
        </is>
      </c>
      <c r="C52" s="3" t="inlineStr">
        <is>
          <t>CNG ₹/km</t>
        </is>
      </c>
      <c r="D52" s="3" t="inlineStr">
        <is>
          <t>Uplift ₹/month</t>
        </is>
      </c>
    </row>
    <row r="53">
      <c r="A53" s="31" t="n">
        <v>0</v>
      </c>
      <c r="B53" s="18">
        <f>(ROUND(Inputs!$B$19/Inputs!$B$20*(Inputs!$B$23*Inputs!$B$21+(1-Inputs!$B$23)*Inputs!$B$22),2)+Inputs!$B$24+ROUND((PMT(Inputs!$B$11,Inputs!$B$6,-Cost_Price!$B$27,$A53*Cost_Price!$B$27)+Inputs!$B$12*Cost_Price!$B$27)*100000/Inputs!$B$7,2))</f>
        <v>8.58</v>
      </c>
      <c r="C53" s="18">
        <f>(ROUND(Inputs!$B$27/Inputs!$B$28,2)+Inputs!$B$29+ROUND((PMT(Inputs!$B$11,Inputs!$B$6,-Inputs!$B$26,Inputs!$B$13*Inputs!$B$26)+Inputs!$B$12*Inputs!$B$26)*100000/Inputs!$B$7,2))</f>
        <v>10.09</v>
      </c>
      <c r="D53" s="26">
        <f>(C53-B53)*Inputs!$B$7/12</f>
        <v>7549.999999999999</v>
      </c>
    </row>
    <row r="54">
      <c r="A54" s="31" t="n">
        <v>0.05</v>
      </c>
      <c r="B54" s="18">
        <f>(ROUND(Inputs!$B$19/Inputs!$B$20*(Inputs!$B$23*Inputs!$B$21+(1-Inputs!$B$23)*Inputs!$B$22),2)+Inputs!$B$24+ROUND((PMT(Inputs!$B$11,Inputs!$B$6,-Cost_Price!$B$27,$A54*Cost_Price!$B$27)+Inputs!$B$12*Cost_Price!$B$27)*100000/Inputs!$B$7,2))</f>
        <v>8.41</v>
      </c>
      <c r="C54" s="18">
        <f>(ROUND(Inputs!$B$27/Inputs!$B$28,2)+Inputs!$B$29+ROUND((PMT(Inputs!$B$11,Inputs!$B$6,-Inputs!$B$26,Inputs!$B$13*Inputs!$B$26)+Inputs!$B$12*Inputs!$B$26)*100000/Inputs!$B$7,2))</f>
        <v>10.09</v>
      </c>
      <c r="D54" s="26">
        <f>(C54-B54)*Inputs!$B$7/12</f>
        <v>8399.999999999998</v>
      </c>
    </row>
    <row r="55">
      <c r="A55" s="31" t="n">
        <v>0.1</v>
      </c>
      <c r="B55" s="18">
        <f>(ROUND(Inputs!$B$19/Inputs!$B$20*(Inputs!$B$23*Inputs!$B$21+(1-Inputs!$B$23)*Inputs!$B$22),2)+Inputs!$B$24+ROUND((PMT(Inputs!$B$11,Inputs!$B$6,-Cost_Price!$B$27,$A55*Cost_Price!$B$27)+Inputs!$B$12*Cost_Price!$B$27)*100000/Inputs!$B$7,2))</f>
        <v>8.24</v>
      </c>
      <c r="C55" s="18">
        <f>(ROUND(Inputs!$B$27/Inputs!$B$28,2)+Inputs!$B$29+ROUND((PMT(Inputs!$B$11,Inputs!$B$6,-Inputs!$B$26,Inputs!$B$13*Inputs!$B$26)+Inputs!$B$12*Inputs!$B$26)*100000/Inputs!$B$7,2))</f>
        <v>10.09</v>
      </c>
      <c r="D55" s="26">
        <f>(C55-B55)*Inputs!$B$7/12</f>
        <v>9249.999999999998</v>
      </c>
    </row>
    <row r="56">
      <c r="A56" s="31" t="n">
        <v>0.15</v>
      </c>
      <c r="B56" s="18">
        <f>(ROUND(Inputs!$B$19/Inputs!$B$20*(Inputs!$B$23*Inputs!$B$21+(1-Inputs!$B$23)*Inputs!$B$22),2)+Inputs!$B$24+ROUND((PMT(Inputs!$B$11,Inputs!$B$6,-Cost_Price!$B$27,$A56*Cost_Price!$B$27)+Inputs!$B$12*Cost_Price!$B$27)*100000/Inputs!$B$7,2))</f>
        <v>8.07</v>
      </c>
      <c r="C56" s="18">
        <f>(ROUND(Inputs!$B$27/Inputs!$B$28,2)+Inputs!$B$29+ROUND((PMT(Inputs!$B$11,Inputs!$B$6,-Inputs!$B$26,Inputs!$B$13*Inputs!$B$26)+Inputs!$B$12*Inputs!$B$26)*100000/Inputs!$B$7,2))</f>
        <v>10.09</v>
      </c>
      <c r="D56" s="26">
        <f>(C56-B56)*Inputs!$B$7/12</f>
        <v>10099.999999999998</v>
      </c>
    </row>
    <row r="57">
      <c r="A57" s="31" t="n">
        <v>0.25</v>
      </c>
      <c r="B57" s="18">
        <f>(ROUND(Inputs!$B$19/Inputs!$B$20*(Inputs!$B$23*Inputs!$B$21+(1-Inputs!$B$23)*Inputs!$B$22),2)+Inputs!$B$24+ROUND((PMT(Inputs!$B$11,Inputs!$B$6,-Cost_Price!$B$27,$A57*Cost_Price!$B$27)+Inputs!$B$12*Cost_Price!$B$27)*100000/Inputs!$B$7,2))</f>
        <v>7.74</v>
      </c>
      <c r="C57" s="18">
        <f>(ROUND(Inputs!$B$27/Inputs!$B$28,2)+Inputs!$B$29+ROUND((PMT(Inputs!$B$11,Inputs!$B$6,-Inputs!$B$26,Inputs!$B$13*Inputs!$B$26)+Inputs!$B$12*Inputs!$B$26)*100000/Inputs!$B$7,2))</f>
        <v>10.09</v>
      </c>
      <c r="D57" s="26">
        <f>(C57-B57)*Inputs!$B$7/12</f>
        <v>11749.999999999998</v>
      </c>
    </row>
    <row r="58">
      <c r="A58" s="6" t="inlineStr">
        <is>
          <t>Even with zero resale value the outright Tour-e is cheaper per km than CNG.</t>
        </is>
      </c>
    </row>
    <row r="60">
      <c r="A60" s="11" t="inlineStr">
        <is>
          <t>G · Break-even points (Tour-e + BaaS = Ertiga CNG, owner-driver)</t>
        </is>
      </c>
      <c r="B60" s="12" t="n"/>
      <c r="C60" s="12" t="n"/>
      <c r="D60" s="12" t="n"/>
      <c r="E60" s="12" t="n"/>
      <c r="F60" s="12" t="n"/>
    </row>
    <row r="61">
      <c r="A61" t="inlineStr">
        <is>
          <t>CNG price at which CNG = Tour-e BaaS (₹/kg)</t>
        </is>
      </c>
      <c r="E61" s="8">
        <f>((ROUND(Inputs!$B$19/Inputs!$B$20*(Inputs!$B$23*Inputs!$B$21+(1-Inputs!$B$23)*Inputs!$B$22),2)+Inputs!$B$24+Inputs!$B$45+ROUND((PMT(Inputs!$B$11,Inputs!$B$6,-Cost_Price!$B$28,Inputs!$B$15*Cost_Price!$B$28)+Inputs!$B$12*Cost_Price!$B$28)*100000/Inputs!$B$7,2))-Inputs!$B$29-ROUND((PMT(Inputs!$B$11,Inputs!$B$6,-Inputs!$B$26,Inputs!$B$13*Inputs!$B$26)+Inputs!$B$12*Inputs!$B$26)*100000/Inputs!$B$7,2))*Inputs!$B$28</f>
        <v>41.400000000000006</v>
      </c>
    </row>
    <row r="62">
      <c r="A62" t="inlineStr">
        <is>
          <t>Public DC tariff at 100% public charging where Tour-e = CNG (₹/kWh)</t>
        </is>
      </c>
      <c r="E62" s="8">
        <f>((ROUND(Inputs!$B$27/Inputs!$B$28,2)+Inputs!$B$29+ROUND((PMT(Inputs!$B$11,Inputs!$B$6,-Inputs!$B$26,Inputs!$B$13*Inputs!$B$26)+Inputs!$B$12*Inputs!$B$26)*100000/Inputs!$B$7,2))-Inputs!$B$24-Inputs!$B$45-ROUND((PMT(Inputs!$B$11,Inputs!$B$6,-Cost_Price!$B$28,Inputs!$B$15*Cost_Price!$B$28)+Inputs!$B$12*Cost_Price!$B$28)*100000/Inputs!$B$7,2))*Inputs!$B$20/Inputs!$B$19</f>
        <v>24.299999999999994</v>
      </c>
    </row>
    <row r="63">
      <c r="A63" t="inlineStr">
        <is>
          <t>BaaS rate at which Tour-e = CNG (₹/km)</t>
        </is>
      </c>
      <c r="E63" s="4">
        <f>(ROUND(Inputs!$B$27/Inputs!$B$28,2)+Inputs!$B$29+ROUND((PMT(Inputs!$B$11,Inputs!$B$6,-Inputs!$B$26,Inputs!$B$13*Inputs!$B$26)+Inputs!$B$12*Inputs!$B$26)*100000/Inputs!$B$7,2))-ROUND(Inputs!$B$19/Inputs!$B$20*(Inputs!$B$23*Inputs!$B$21+(1-Inputs!$B$23)*Inputs!$B$22),2)-Inputs!$B$24-ROUND((PMT(Inputs!$B$11,Inputs!$B$6,-Cost_Price!$B$28,Inputs!$B$15*Cost_Price!$B$28)+Inputs!$B$12*Cost_Price!$B$28)*100000/Inputs!$B$7,2)</f>
        <v>4.179999999999999</v>
      </c>
    </row>
  </sheetData>
  <mergeCells count="3">
    <mergeCell ref="A62:D62"/>
    <mergeCell ref="A61:D61"/>
    <mergeCell ref="A63:D63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3A89E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2035 at scale – same duty cycle, 2035 prices (2026 ₹)</t>
        </is>
      </c>
    </row>
    <row r="2">
      <c r="A2" s="2" t="inlineStr">
        <is>
          <t>Energy, CNG and maintenance held at 2026 levels; only vehicle price and BaaS rate change.</t>
        </is>
      </c>
    </row>
    <row r="4">
      <c r="A4" s="3" t="inlineStr">
        <is>
          <t>Item (60k km/yr)</t>
        </is>
      </c>
      <c r="B4" s="3" t="inlineStr">
        <is>
          <t>Ertiga CNG</t>
        </is>
      </c>
      <c r="C4" s="3" t="inlineStr">
        <is>
          <t>Tour-e + BaaS 2035</t>
        </is>
      </c>
      <c r="D4" s="3" t="inlineStr">
        <is>
          <t>Tour-e outright 2035</t>
        </is>
      </c>
      <c r="E4" s="3" t="inlineStr">
        <is>
          <t>Note</t>
        </is>
      </c>
    </row>
    <row r="5">
      <c r="A5" t="inlineStr">
        <is>
          <t>Energy (₹/km)</t>
        </is>
      </c>
      <c r="B5" s="18">
        <f>TCO!B6</f>
        <v>4.25</v>
      </c>
      <c r="C5" s="18">
        <f>TCO!C6</f>
        <v>1.87</v>
      </c>
      <c r="D5" s="18">
        <f>TCO!D6</f>
        <v>1.87</v>
      </c>
    </row>
    <row r="6">
      <c r="A6" t="inlineStr">
        <is>
          <t>Maintenance (₹/km)</t>
        </is>
      </c>
      <c r="B6" s="18">
        <f>TCO!B7</f>
        <v>0.95</v>
      </c>
      <c r="C6" s="18">
        <f>TCO!C7</f>
        <v>0.55</v>
      </c>
      <c r="D6" s="18">
        <f>TCO!D7</f>
        <v>0.55</v>
      </c>
    </row>
    <row r="7">
      <c r="A7" t="inlineStr">
        <is>
          <t>Battery subscription (₹/km)</t>
        </is>
      </c>
      <c r="B7" s="18">
        <f>0</f>
        <v>0.0</v>
      </c>
      <c r="C7" s="18">
        <f>Inputs!$B$46</f>
        <v>1.6</v>
      </c>
      <c r="D7" s="18">
        <f>0</f>
        <v>0.0</v>
      </c>
    </row>
    <row r="8">
      <c r="A8" t="inlineStr">
        <is>
          <t>Upfront price (₹ lakh)</t>
        </is>
      </c>
      <c r="B8" s="24">
        <f>Inputs!$B$26</f>
        <v>10.745</v>
      </c>
      <c r="C8" s="24">
        <f>Cost_Price!$C$28</f>
        <v>6.887462400000002</v>
      </c>
      <c r="D8" s="24">
        <f>Cost_Price!$C$27</f>
        <v>10.567065600000003</v>
      </c>
    </row>
    <row r="9">
      <c r="A9" t="inlineStr">
        <is>
          <t>Capital &amp; insurance (₹/km)</t>
        </is>
      </c>
      <c r="B9" s="18">
        <f>ROUND((PMT(Inputs!$B$11,Inputs!$B$6,-B8,Inputs!$B$13*B8)+Inputs!$B$12*B8)*100000/Inputs!$B$7,2)</f>
        <v>4.89</v>
      </c>
      <c r="C9" s="18">
        <f>ROUND((PMT(Inputs!$B$11,Inputs!$B$6,-C8,Inputs!$B$15*C8)+Inputs!$B$12*C8)*100000/Inputs!$B$7,2)</f>
        <v>3.04</v>
      </c>
      <c r="D9" s="18">
        <f>ROUND((PMT(Inputs!$B$11,Inputs!$B$6,-D8,Inputs!$B$14*D8)+Inputs!$B$12*D8)*100000/Inputs!$B$7,2)</f>
        <v>4.81</v>
      </c>
    </row>
    <row r="10">
      <c r="A10" t="inlineStr">
        <is>
          <t>TOTAL (₹/km)</t>
        </is>
      </c>
      <c r="B10" s="4">
        <f>B5+B6+B7+B9</f>
        <v>10.09</v>
      </c>
      <c r="C10" s="4">
        <f>C5+C6+C7+C9</f>
        <v>7.06</v>
      </c>
      <c r="D10" s="4">
        <f>D5+D6+D7+D9</f>
        <v>7.2299999999999995</v>
      </c>
    </row>
    <row r="11">
      <c r="A11" t="inlineStr">
        <is>
          <t>Uplift vs CNG (₹/month)</t>
        </is>
      </c>
      <c r="B11" s="7">
        <f>0</f>
        <v>0.0</v>
      </c>
      <c r="C11" s="7">
        <f>(B10-C10)*Inputs!$B$7/12</f>
        <v>15150.000000000002</v>
      </c>
      <c r="D11" s="7">
        <f>(B10-D10)*Inputs!$B$7/12</f>
        <v>14300.000000000002</v>
      </c>
    </row>
    <row r="13">
      <c r="A13" s="6" t="inlineStr">
        <is>
          <t>By 2035 the Tour-e + BaaS runs ~₹3/km below today's CNG benchmark: ~₹15k/month for an owner-driver.</t>
        </is>
      </c>
    </row>
  </sheetData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13A89E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60" customWidth="1" min="3" max="3"/>
    <col width="90" customWidth="1" min="4" max="4"/>
  </cols>
  <sheetData>
    <row r="1">
      <c r="A1" s="1" t="inlineStr">
        <is>
          <t>Sources used in the model</t>
        </is>
      </c>
    </row>
    <row r="2">
      <c r="A2" s="2" t="inlineStr">
        <is>
          <t>Accessed Sep 2026. Team assumptions are labelled on the Inputs sheet.</t>
        </is>
      </c>
    </row>
    <row r="4">
      <c r="A4" s="3" t="inlineStr">
        <is>
          <t>#</t>
        </is>
      </c>
      <c r="B4" s="3" t="inlineStr">
        <is>
          <t>Source</t>
        </is>
      </c>
      <c r="C4" s="3" t="inlineStr">
        <is>
          <t>Data used</t>
        </is>
      </c>
      <c r="D4" s="3" t="inlineStr">
        <is>
          <t>Link</t>
        </is>
      </c>
    </row>
    <row r="5">
      <c r="A5" t="n">
        <v>1</v>
      </c>
      <c r="B5" s="32" t="inlineStr">
        <is>
          <t>Maruti Suzuki press release (Feb 2026)</t>
        </is>
      </c>
      <c r="C5" s="32" t="inlineStr">
        <is>
          <t>e VITARA BaaS ₹10.99 L + ₹3.99/km; retail BaaS usage basis</t>
        </is>
      </c>
      <c r="D5" s="33" t="inlineStr">
        <is>
          <t>https://www.marutisuzuki.com/corporate/media/press-releases/2026/february/india-goes-electric-with-maruti-suzuki-e-vitara-introductory-baas-price-starts</t>
        </is>
      </c>
    </row>
    <row r="6">
      <c r="A6" t="n">
        <v>2</v>
      </c>
      <c r="B6" s="32" t="inlineStr">
        <is>
          <t>Autocar India – BaaS prices of e Vitara explained</t>
        </is>
      </c>
      <c r="C6" s="32" t="inlineStr">
        <is>
          <t>Pack value ~₹5 L (49 kWh); 1,800 km/month minimum</t>
        </is>
      </c>
      <c r="D6" s="33" t="inlineStr">
        <is>
          <t>https://www.autocarindia.com/auto-features/baas-prices-of-maruti-e-vitara-explained-440247</t>
        </is>
      </c>
    </row>
    <row r="7">
      <c r="A7" t="n">
        <v>3</v>
      </c>
      <c r="B7" s="32" t="inlineStr">
        <is>
          <t>Autocar India – Maruti prices after GST cuts (Sep 2025)</t>
        </is>
      </c>
      <c r="C7" s="32" t="inlineStr">
        <is>
          <t>Ertiga Tour M CNG post-GST ex-showroom</t>
        </is>
      </c>
      <c r="D7" s="33" t="inlineStr">
        <is>
          <t>https://www.autocarindia.com/car-news-amp/maruti-suzuki-prices-after-gst-cuts-the-swift-gets-a-lakh-cheaper-437189</t>
        </is>
      </c>
    </row>
    <row r="8">
      <c r="A8" t="n">
        <v>4</v>
      </c>
      <c r="B8" s="32" t="inlineStr">
        <is>
          <t>Outlook Business – Delhi CNG ₹86.98/kg</t>
        </is>
      </c>
      <c r="C8" s="32" t="inlineStr">
        <is>
          <t>CNG price, Aug–Sep 2026</t>
        </is>
      </c>
      <c r="D8" s="33" t="inlineStr">
        <is>
          <t>https://www.outlookbusiness.com/economy-and-policy/delhi-cng-to-cost-8698kg-as-igl-passes-on-rising-lng-costs</t>
        </is>
      </c>
    </row>
    <row r="9">
      <c r="A9" t="n">
        <v>5</v>
      </c>
      <c r="B9" s="32" t="inlineStr">
        <is>
          <t>BloombergNEF – 2025 battery price survey</t>
        </is>
      </c>
      <c r="C9" s="32" t="inlineStr">
        <is>
          <t>Pack prices: global $108/kWh; China $84/kWh; LFP $81/kWh</t>
        </is>
      </c>
      <c r="D9" s="33" t="inlineStr">
        <is>
          <t>https://about.bnef.com/insights/clean-transport/lithium-ion-battery-pack-prices-fall-to-108-per-kilowatt-hour-despite-rising-metal-prices-bloombergnef/</t>
        </is>
      </c>
    </row>
    <row r="10">
      <c r="A10" t="n">
        <v>6</v>
      </c>
      <c r="B10" s="32" t="inlineStr">
        <is>
          <t>ClearTax – GST on cars (GST 2.0)</t>
        </is>
      </c>
      <c r="C10" s="32" t="inlineStr">
        <is>
          <t>EV 5%; &gt;4 m petrol/CNG 40%, from 22 Sep 2025</t>
        </is>
      </c>
      <c r="D10" s="33" t="inlineStr">
        <is>
          <t>https://cleartax.in/s/gst-on-cars</t>
        </is>
      </c>
    </row>
    <row r="11">
      <c r="A11" t="n">
        <v>7</v>
      </c>
      <c r="B11" s="32" t="inlineStr">
        <is>
          <t>CEEW (2025) – Cost of ownership for road transport</t>
        </is>
      </c>
      <c r="C11" s="32" t="inlineStr">
        <is>
          <t>EVs cheapest-to-own taxi option; CNG next</t>
        </is>
      </c>
      <c r="D11" s="33" t="inlineStr">
        <is>
          <t>https://www.ceew.in/publications/cost-of-ownership-for-road-transport-sector-for-different-vehicle-segments-fuels-and-powertrains</t>
        </is>
      </c>
    </row>
    <row r="12">
      <c r="A12" t="n">
        <v>8</v>
      </c>
      <c r="B12" s="32" t="inlineStr">
        <is>
          <t>MeraEV – EV charging cost in India (2026)</t>
        </is>
      </c>
      <c r="C12" s="32" t="inlineStr">
        <is>
          <t>Public DC tariff range</t>
        </is>
      </c>
      <c r="D12" s="33" t="inlineStr">
        <is>
          <t>https://www.meraev.com/blog/ev-charging-cost-in-india-full-guide</t>
        </is>
      </c>
    </row>
    <row r="13">
      <c r="A13" t="n">
        <v>9</v>
      </c>
      <c r="B13" s="32" t="inlineStr">
        <is>
          <t>MyMotor – state-wise EV charging tariffs</t>
        </is>
      </c>
      <c r="C13" s="32" t="inlineStr">
        <is>
          <t>Depot / EV tariff range</t>
        </is>
      </c>
      <c r="D13" s="33" t="inlineStr">
        <is>
          <t>https://www.mymotor.in/blog/ev-charging-cost-india-state-wise-tariff</t>
        </is>
      </c>
    </row>
    <row r="14">
      <c r="A14" t="n">
        <v>10</v>
      </c>
      <c r="B14" s="32" t="inlineStr">
        <is>
          <t>HDFC Sky – INR/USD daily reports (Jun–Aug 2026)</t>
        </is>
      </c>
      <c r="C14" s="32" t="inlineStr">
        <is>
          <t>Exchange rate ~₹95/$</t>
        </is>
      </c>
      <c r="D14" s="33" t="inlineStr">
        <is>
          <t>https://hdfcsky.com/news/inr-usd-rate-august-11-2026-rupee-falls-95-43</t>
        </is>
      </c>
    </row>
    <row r="15">
      <c r="A15" t="n">
        <v>11</v>
      </c>
      <c r="B15" s="32" t="inlineStr">
        <is>
          <t>Rushlane – Ertiga CNG launch</t>
        </is>
      </c>
      <c r="C15" s="32" t="inlineStr">
        <is>
          <t>Claimed 26.11 km/kg CNG efficiency</t>
        </is>
      </c>
      <c r="D15" s="33" t="inlineStr">
        <is>
          <t>https://www.rushlane.com/2019-maruti-ertiga-cng-launched-12318513.html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Team Tour-e</dc:creator>
  <dc:title xmlns:dc="http://purl.org/dc/elements/1.1/">Tour-e TCO Model</dc:title>
  <dcterms:created xmlns:dcterms="http://purl.org/dc/terms/" xmlns:xsi="http://www.w3.org/2001/XMLSchema-instance" xsi:type="dcterms:W3CDTF">2026-09-27T16:16:35Z</dcterms:created>
  <dcterms:modified xmlns:dcterms="http://purl.org/dc/terms/" xmlns:xsi="http://www.w3.org/2001/XMLSchema-instance" xsi:type="dcterms:W3CDTF">2026-09-27T16:16:35Z</dcterms:modified>
  <cp:lastModifiedBy>Team Tour-e</cp:lastModifiedBy>
</cp:coreProperties>
</file>